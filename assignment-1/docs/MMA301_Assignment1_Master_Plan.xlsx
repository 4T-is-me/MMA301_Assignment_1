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FA26\MMA301\MMA301_Assignment_1\MMA301_Assignment_1\assignment-1\docs\"/>
    </mc:Choice>
  </mc:AlternateContent>
  <xr:revisionPtr revIDLastSave="0" documentId="13_ncr:1_{6E2FAFEB-BB85-4332-BB4A-2853EF1987DA}" xr6:coauthVersionLast="47" xr6:coauthVersionMax="47" xr10:uidLastSave="{00000000-0000-0000-0000-000000000000}"/>
  <bookViews>
    <workbookView xWindow="-28920" yWindow="-30" windowWidth="29040" windowHeight="15720" xr2:uid="{00000000-000D-0000-FFFF-FFFF00000000}"/>
  </bookViews>
  <sheets>
    <sheet name="MMA301_Assignment1_Plan" sheetId="1" r:id="rId1"/>
    <sheet name="RTM" sheetId="2" r:id="rId2"/>
    <sheet name="Design_Decision_Record" sheetId="3" r:id="rId3"/>
    <sheet name="Test_Matrix" sheetId="4" r:id="rId4"/>
    <sheet name="Interview_Preparation" sheetId="5" r:id="rId5"/>
    <sheet name="Transfer_Practice" sheetId="6" r:id="rId6"/>
    <sheet name="AI_Usage_Log" sheetId="7" r:id="rId7"/>
    <sheet name="Final_Checklist" sheetId="8" r:id="rId8"/>
    <sheet name="Overview" sheetId="9" r:id="rId9"/>
  </sheets>
  <definedNames>
    <definedName name="_xlnm._FilterDatabase" localSheetId="6" hidden="1">AI_Usage_Log!$A$1:$K$4</definedName>
    <definedName name="_xlnm._FilterDatabase" localSheetId="2" hidden="1">Design_Decision_Record!$A$1:$K$7</definedName>
    <definedName name="_xlnm._FilterDatabase" localSheetId="7" hidden="1">Final_Checklist!$A$1:$F$39</definedName>
    <definedName name="_xlnm._FilterDatabase" localSheetId="4" hidden="1">Interview_Preparation!$A$1:$E$17</definedName>
    <definedName name="_xlnm._FilterDatabase" localSheetId="0" hidden="1">MMA301_Assignment1_Plan!$A$1:$R$75</definedName>
    <definedName name="_xlnm._FilterDatabase" localSheetId="8" hidden="1">Overview!$A$1:$H$31</definedName>
    <definedName name="_xlnm._FilterDatabase" localSheetId="1" hidden="1">RTM!$A$1:$K$11</definedName>
    <definedName name="_xlnm._FilterDatabase" localSheetId="3" hidden="1">Test_Matrix!$A$1:$K$19</definedName>
    <definedName name="_xlnm._FilterDatabase" localSheetId="5" hidden="1">Transfer_Practice!$A$1:$K$12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9" l="1"/>
  <c r="B30" i="9"/>
  <c r="B28" i="9"/>
  <c r="B25" i="9"/>
  <c r="B24" i="9"/>
  <c r="B23" i="9"/>
  <c r="B22" i="9"/>
  <c r="B21" i="9"/>
  <c r="B20" i="9"/>
  <c r="B19" i="9"/>
  <c r="B15" i="9"/>
  <c r="B13" i="9"/>
  <c r="B12" i="9"/>
  <c r="B11" i="9"/>
  <c r="B10" i="9"/>
  <c r="B9" i="9"/>
  <c r="B8" i="9"/>
  <c r="B6" i="9"/>
  <c r="B5" i="9"/>
  <c r="B7" i="9" s="1"/>
  <c r="B4" i="9"/>
  <c r="B3" i="9"/>
  <c r="B2" i="9"/>
</calcChain>
</file>

<file path=xl/sharedStrings.xml><?xml version="1.0" encoding="utf-8"?>
<sst xmlns="http://schemas.openxmlformats.org/spreadsheetml/2006/main" count="2141" uniqueCount="1016">
  <si>
    <t>ID</t>
  </si>
  <si>
    <t>Phase</t>
  </si>
  <si>
    <t>Day</t>
  </si>
  <si>
    <t>Task</t>
  </si>
  <si>
    <t>Subtask</t>
  </si>
  <si>
    <t>Requirement / Rubric liên quan</t>
  </si>
  <si>
    <t>Screen / File / Component liên quan</t>
  </si>
  <si>
    <t>Input</t>
  </si>
  <si>
    <t>Expected Output</t>
  </si>
  <si>
    <t>Evidence cần lưu</t>
  </si>
  <si>
    <t>Test cần thực hiện</t>
  </si>
  <si>
    <t>Interview cần biết</t>
  </si>
  <si>
    <t>AI có thể hỗ trợ gì</t>
  </si>
  <si>
    <t>AI Verification</t>
  </si>
  <si>
    <t>Priority</t>
  </si>
  <si>
    <t>Estimated Time</t>
  </si>
  <si>
    <t>Status</t>
  </si>
  <si>
    <t>Notes</t>
  </si>
  <si>
    <t>COLOR LEGEND</t>
  </si>
  <si>
    <t>P1-01</t>
  </si>
  <si>
    <t>Phase 1 – Requirement Analysis</t>
  </si>
  <si>
    <t>Day 1</t>
  </si>
  <si>
    <t>Read PDF end-to-end</t>
  </si>
  <si>
    <t>Break requirement into a concrete decision/output.</t>
  </si>
  <si>
    <t>R01–R10; Rubric 1–2</t>
  </si>
  <si>
    <t>Requirements / RTM</t>
  </si>
  <si>
    <t>Assignment PDF + project</t>
  </si>
  <si>
    <t>Requirement decisions recorded</t>
  </si>
  <si>
    <t>Notes + RTM draft</t>
  </si>
  <si>
    <t>Verify against PDF</t>
  </si>
  <si>
    <t>Requirement → evidence mapping</t>
  </si>
  <si>
    <t>Checklist/gap scan</t>
  </si>
  <si>
    <t>Compare with PDF</t>
  </si>
  <si>
    <t>HIGH</t>
  </si>
  <si>
    <t>DONE</t>
  </si>
  <si>
    <t>PHASE 1 – UNDERSTAND</t>
  </si>
  <si>
    <t>P1-02</t>
  </si>
  <si>
    <t>Extract scope, screens, workflow, technical constraints and evidence requirements.</t>
  </si>
  <si>
    <t>PHASE 2 – DESIGN</t>
  </si>
  <si>
    <t>P1-03</t>
  </si>
  <si>
    <t>List screens/navigation</t>
  </si>
  <si>
    <t>PHASE 3 – IMPLEMENT</t>
  </si>
  <si>
    <t>P1-04</t>
  </si>
  <si>
    <t>Home, Profile, Edit Profile, Activity/Interests, Settings and navigation flow.</t>
  </si>
  <si>
    <t>PHASE 4 – TEST</t>
  </si>
  <si>
    <t>P1-05</t>
  </si>
  <si>
    <t>Classify state ownership</t>
  </si>
  <si>
    <t>PHASE 5 – REVIEW / COMPLETE</t>
  </si>
  <si>
    <t>P1-06</t>
  </si>
  <si>
    <t>Mark local UI, shared state, persistent state and hydration.</t>
  </si>
  <si>
    <t>TODO / NOT STARTED</t>
  </si>
  <si>
    <t>P1-07</t>
  </si>
  <si>
    <t>Define Profile model/validation</t>
  </si>
  <si>
    <t>IN PROGRESS</t>
  </si>
  <si>
    <t>P1-08</t>
  </si>
  <si>
    <t>Name/avatar/bio, validation, invalid data must not save.</t>
  </si>
  <si>
    <t>BLOCKED</t>
  </si>
  <si>
    <t>P1-09</t>
  </si>
  <si>
    <t>Define list behavior</t>
  </si>
  <si>
    <t>P1-10</t>
  </si>
  <si>
    <t>Collection shape, stable key, empty state and state-changing interaction.</t>
  </si>
  <si>
    <t>LOW</t>
  </si>
  <si>
    <t>P1-11</t>
  </si>
  <si>
    <t>Define persistence behavior</t>
  </si>
  <si>
    <t>MEDIUM</t>
  </si>
  <si>
    <t>P1-12</t>
  </si>
  <si>
    <t>AsyncStorage keys, JSON serialization, first-run defaults, missing/corrupt fallback.</t>
  </si>
  <si>
    <t>P1-13</t>
  </si>
  <si>
    <t>Define theme behavior</t>
  </si>
  <si>
    <t>P1-14</t>
  </si>
  <si>
    <t>Context placement, app-wide update, hydration and persistence.</t>
  </si>
  <si>
    <t>P1-15</t>
  </si>
  <si>
    <t>Map end-to-end workflow</t>
  </si>
  <si>
    <t>P1-16</t>
  </si>
  <si>
    <t>Startup → Profile → Edit → Save → Activity → Settings → restart.</t>
  </si>
  <si>
    <t>P1-17</t>
  </si>
  <si>
    <t>Identify edge/failure cases</t>
  </si>
  <si>
    <t>P1-18</t>
  </si>
  <si>
    <t>Invalid form, empty list, missing/corrupt storage, failed async operation.</t>
  </si>
  <si>
    <t>P1-19</t>
  </si>
  <si>
    <t>Create state/data sketch</t>
  </si>
  <si>
    <t>P1-20</t>
  </si>
  <si>
    <t>Screen/component/state/data/service relationships.</t>
  </si>
  <si>
    <t>P1-21</t>
  </si>
  <si>
    <t>Build initial RTM</t>
  </si>
  <si>
    <t>P1-22</t>
  </si>
  <si>
    <t>Map R01–R10 to implementation, tests, evidence, demo and interview.</t>
  </si>
  <si>
    <t>P2-01</t>
  </si>
  <si>
    <t>Phase 2 – Design</t>
  </si>
  <si>
    <t>Day 2</t>
  </si>
  <si>
    <t>Navigation architecture</t>
  </si>
  <si>
    <t>Define central navigation and screen responsibilities.</t>
  </si>
  <si>
    <t>R02–R10; Rubric 2</t>
  </si>
  <si>
    <t>Navigation / Context / Components / Storage</t>
  </si>
  <si>
    <t>Requirement analysis + state sketch</t>
  </si>
  <si>
    <t>Design ready</t>
  </si>
  <si>
    <t>Diagram/notes + DDD</t>
  </si>
  <si>
    <t>Walk through design</t>
  </si>
  <si>
    <t>Explain why state belongs where</t>
  </si>
  <si>
    <t>Keep only verified decisions</t>
  </si>
  <si>
    <t>TODO</t>
  </si>
  <si>
    <t>P2-02</t>
  </si>
  <si>
    <t>Screen/component structure</t>
  </si>
  <si>
    <t>Create component tree for Home, Profile, Edit Profile, Activity, Settings.</t>
  </si>
  <si>
    <t>P2-03</t>
  </si>
  <si>
    <t>State ownership design</t>
  </si>
  <si>
    <t>Decide local vs shared state with explicit ownership.</t>
  </si>
  <si>
    <t>P2-04</t>
  </si>
  <si>
    <t>ThemeContext design</t>
  </si>
  <si>
    <t>Define provider value, toggle/update and re-render expectations.</t>
  </si>
  <si>
    <t>P2-05</t>
  </si>
  <si>
    <t>Profile state design</t>
  </si>
  <si>
    <t>Define shared profile state and immediate UI update after save.</t>
  </si>
  <si>
    <t>P2-06</t>
  </si>
  <si>
    <t>Persistence architecture</t>
  </si>
  <si>
    <t>Define AsyncStorage helper, keys, serialization and hydration.</t>
  </si>
  <si>
    <t>P2-07</t>
  </si>
  <si>
    <t>Hydration timing</t>
  </si>
  <si>
    <t>Startup loading/default strategy and corrupt-data fallback.</t>
  </si>
  <si>
    <t>P2-08</t>
  </si>
  <si>
    <t>List design</t>
  </si>
  <si>
    <t>FlatList/SectionList data, renderItem, keyExtractor and empty state.</t>
  </si>
  <si>
    <t>P2-09</t>
  </si>
  <si>
    <t>Reusable components</t>
  </si>
  <si>
    <t>Identify reusable buttons, inputs, cards and list items.</t>
  </si>
  <si>
    <t>P2-10</t>
  </si>
  <si>
    <t>Validation/error design</t>
  </si>
  <si>
    <t>Validation rules, errors, save/cancel and failure paths.</t>
  </si>
  <si>
    <t>P2-11</t>
  </si>
  <si>
    <t>Folder structure</t>
  </si>
  <si>
    <t>Screens / Components / Context / Services(or utils) organization.</t>
  </si>
  <si>
    <t>P2-12</t>
  </si>
  <si>
    <t>Design Decision Record</t>
  </si>
  <si>
    <t>At least 5 decisions with alternatives, trade-offs and change impact.</t>
  </si>
  <si>
    <t>P3-01</t>
  </si>
  <si>
    <t>Phase 3 – Build (M1–M7)</t>
  </si>
  <si>
    <t>Day 3–6</t>
  </si>
  <si>
    <t>M1 Project setup</t>
  </si>
  <si>
    <t>Verify clean install, Expo run and baseline build.</t>
  </si>
  <si>
    <t>R01–R10; Rubric 3</t>
  </si>
  <si>
    <t>Project / Screens / Components / Context / Storage</t>
  </si>
  <si>
    <t>Design artifacts + code</t>
  </si>
  <si>
    <t>Working implementation</t>
  </si>
  <si>
    <t>Git/screenshot/test evidence</t>
  </si>
  <si>
    <t>Relevant test case</t>
  </si>
  <si>
    <t>Purpose → input → trigger → transform → output → failure</t>
  </si>
  <si>
    <t>Code ideas/debug hypotheses</t>
  </si>
  <si>
    <t>Run and verify independently</t>
  </si>
  <si>
    <t>P3-02</t>
  </si>
  <si>
    <t>M1 Navigation skeleton</t>
  </si>
  <si>
    <t>Implement Home/Profile/Edit Profile/Activity/Settings navigation.</t>
  </si>
  <si>
    <t>P3-03</t>
  </si>
  <si>
    <t>M1 Navigation verification</t>
  </si>
  <si>
    <t>Navigate every screen and save evidence.</t>
  </si>
  <si>
    <t>P3-04</t>
  </si>
  <si>
    <t>M2 Base UI structure</t>
  </si>
  <si>
    <t>Build screen shells and reusable layout patterns.</t>
  </si>
  <si>
    <t>P3-05</t>
  </si>
  <si>
    <t>M2 Reusable components</t>
  </si>
  <si>
    <t>Create reusable buttons, inputs, cards/list items.</t>
  </si>
  <si>
    <t>P3-06</t>
  </si>
  <si>
    <t>M2 Theme implementation</t>
  </si>
  <si>
    <t>Implement ThemeContext and app-wide theme/preference.</t>
  </si>
  <si>
    <t>P3-07</t>
  </si>
  <si>
    <t>M2 Theme verification</t>
  </si>
  <si>
    <t>Verify multiple screens react to theme state.</t>
  </si>
  <si>
    <t>P3-08</t>
  </si>
  <si>
    <t>M3 Profile model/state</t>
  </si>
  <si>
    <t>Implement profile state and defaults.</t>
  </si>
  <si>
    <t>P3-09</t>
  </si>
  <si>
    <t>M3 Profile screen</t>
  </si>
  <si>
    <t>Render name/avatar/bio from saved/shared data.</t>
  </si>
  <si>
    <t>P3-10</t>
  </si>
  <si>
    <t>M3 Controlled form</t>
  </si>
  <si>
    <t>Bind inputs to form state and handle edits.</t>
  </si>
  <si>
    <t>P3-11</t>
  </si>
  <si>
    <t>M3 Validation</t>
  </si>
  <si>
    <t>Prevent invalid save and show errors.</t>
  </si>
  <si>
    <t>P3-12</t>
  </si>
  <si>
    <t>M3 Save/cancel</t>
  </si>
  <si>
    <t>Save valid data; cancel leaves saved data unchanged.</t>
  </si>
  <si>
    <t>P3-13</t>
  </si>
  <si>
    <t>M3 Immediate update</t>
  </si>
  <si>
    <t>Profile updates without restart.</t>
  </si>
  <si>
    <t>P3-14</t>
  </si>
  <si>
    <t>M4 Activity data</t>
  </si>
  <si>
    <t>Create activity/interests collection and state.</t>
  </si>
  <si>
    <t>P3-15</t>
  </si>
  <si>
    <t>M4 FlatList/SectionList</t>
  </si>
  <si>
    <t>Implement FlatList with keyExtractor, API integration, empty state, search, tags, pagination (SectionList omitted).</t>
  </si>
  <si>
    <t>P3-16</t>
  </si>
  <si>
    <t>M4 Empty state</t>
  </si>
  <si>
    <t>Implement safe empty-list UI.</t>
  </si>
  <si>
    <t>P3-17</t>
  </si>
  <si>
    <t>M4 List interaction</t>
  </si>
  <si>
    <t>Implement at least one state-changing interaction.</t>
  </si>
  <si>
    <t>P3-18</t>
  </si>
  <si>
    <t>M5 Storage helper</t>
  </si>
  <si>
    <t>AsyncStorage calls integrated in ProfileContext and ThemeContext (standalone helper omitted).</t>
  </si>
  <si>
    <t>P3-19</t>
  </si>
  <si>
    <t>M5 Startup hydration</t>
  </si>
  <si>
    <t>Read profile/theme/preference at startup.</t>
  </si>
  <si>
    <t>P3-20</t>
  </si>
  <si>
    <t>M5 Persistence save</t>
  </si>
  <si>
    <t>Persist profile/theme changes.</t>
  </si>
  <si>
    <t>P3-21</t>
  </si>
  <si>
    <t>M5 Missing/corrupt fallback</t>
  </si>
  <si>
    <t>Handle bad local data without crash.</t>
  </si>
  <si>
    <t>P3-22</t>
  </si>
  <si>
    <t>M5 Restart verification</t>
  </si>
  <si>
    <t>Restart and verify persisted state.</t>
  </si>
  <si>
    <t>P3-23</t>
  </si>
  <si>
    <t>M6 Integration</t>
  </si>
  <si>
    <t>Connect Context, screens, storage and lists end-to-end.</t>
  </si>
  <si>
    <t>P3-24</t>
  </si>
  <si>
    <t>M6 Refactor</t>
  </si>
  <si>
    <t>Remove duplicated logic and confirm reusable components.</t>
  </si>
  <si>
    <t>P3-25</t>
  </si>
  <si>
    <t>M6 Responsive layout</t>
  </si>
  <si>
    <t>Check Flexbox/layout on relevant device sizes.</t>
  </si>
  <si>
    <t>P3-26</t>
  </si>
  <si>
    <t>M7 Smoke test</t>
  </si>
  <si>
    <t>Run complete happy path.</t>
  </si>
  <si>
    <t>P3-27</t>
  </si>
  <si>
    <t>M7 Negative/edge test</t>
  </si>
  <si>
    <t>Run invalid, empty, missing/corrupt and cancel cases.</t>
  </si>
  <si>
    <t>P3-28</t>
  </si>
  <si>
    <t>M7 Release candidate</t>
  </si>
  <si>
    <t>Clean run, README updated, no serious runtime errors.</t>
  </si>
  <si>
    <t>P4-01</t>
  </si>
  <si>
    <t>Phase 4 – Testing</t>
  </si>
  <si>
    <t>Day 7</t>
  </si>
  <si>
    <t>Populate Test Matrix</t>
  </si>
  <si>
    <t>Minimum 12 required cases + restart/state/validation/storage/theme/navigation/edge/regression.</t>
  </si>
  <si>
    <t>Rubric 4</t>
  </si>
  <si>
    <t>Test_Matrix</t>
  </si>
  <si>
    <t>Implemented app</t>
  </si>
  <si>
    <t>Executable cases with expected results</t>
  </si>
  <si>
    <t>Test evidence</t>
  </si>
  <si>
    <t>Run cases</t>
  </si>
  <si>
    <t>Explain coverage</t>
  </si>
  <si>
    <t>Edge-case suggestions</t>
  </si>
  <si>
    <t>Execute manually</t>
  </si>
  <si>
    <t>P4-02</t>
  </si>
  <si>
    <t>Run full test suite</t>
  </si>
  <si>
    <t>Record actual result, status, bugs, retests and evidence.</t>
  </si>
  <si>
    <t>Test cases</t>
  </si>
  <si>
    <t>Actual results</t>
  </si>
  <si>
    <t>Screenshots/logs</t>
  </si>
  <si>
    <t>Retest fixes</t>
  </si>
  <si>
    <t>Expected vs actual</t>
  </si>
  <si>
    <t>Missing cases</t>
  </si>
  <si>
    <t>Run app</t>
  </si>
  <si>
    <t>P5-01</t>
  </si>
  <si>
    <t>Phase 5 – Debugging</t>
  </si>
  <si>
    <t>Day 8</t>
  </si>
  <si>
    <t>Complete real Debug Log #1</t>
  </si>
  <si>
    <t>Symptom → hypothesis → checks → root cause → fix → retest.</t>
  </si>
  <si>
    <t>Rubric 5</t>
  </si>
  <si>
    <t>Debug_Log</t>
  </si>
  <si>
    <t>Real bug</t>
  </si>
  <si>
    <t>Complete record</t>
  </si>
  <si>
    <t>Evidence</t>
  </si>
  <si>
    <t>Retest/regression</t>
  </si>
  <si>
    <t>Narrowing strategy</t>
  </si>
  <si>
    <t>Hypotheses</t>
  </si>
  <si>
    <t>Verify cause</t>
  </si>
  <si>
    <t>P5-02</t>
  </si>
  <si>
    <t>Complete real Debug Log #2</t>
  </si>
  <si>
    <t>Second real bug with same process.</t>
  </si>
  <si>
    <t>Smallest fix</t>
  </si>
  <si>
    <t>Checklist</t>
  </si>
  <si>
    <t>Verify fix</t>
  </si>
  <si>
    <t>P6-01</t>
  </si>
  <si>
    <t>Phase 6 – Interview</t>
  </si>
  <si>
    <t>Day 9</t>
  </si>
  <si>
    <t>Practice core explanations</t>
  </si>
  <si>
    <t>Navigation, props/state/context, form, Context, list, AsyncStorage, state mutation, structure.</t>
  </si>
  <si>
    <t>Rubric 6</t>
  </si>
  <si>
    <t>Interview_Preparation</t>
  </si>
  <si>
    <t>Codebase</t>
  </si>
  <si>
    <t>≤30 sec answers</t>
  </si>
  <si>
    <t>Practice notes</t>
  </si>
  <si>
    <t>Open exact files</t>
  </si>
  <si>
    <t>Explain without reading</t>
  </si>
  <si>
    <t>Mock questions</t>
  </si>
  <si>
    <t>Self-explain</t>
  </si>
  <si>
    <t>P6-02</t>
  </si>
  <si>
    <t>Practice debug explanation</t>
  </si>
  <si>
    <t>Explain one real bug from symptom to regression.</t>
  </si>
  <si>
    <t>Rubric 5–6</t>
  </si>
  <si>
    <t>Interview_Preparation / Debug_Log</t>
  </si>
  <si>
    <t>Debug record</t>
  </si>
  <si>
    <t>Clear explanation</t>
  </si>
  <si>
    <t>Debug evidence</t>
  </si>
  <si>
    <t>Regression reasoning</t>
  </si>
  <si>
    <t>Evidence-based debugging</t>
  </si>
  <si>
    <t>Follow-ups</t>
  </si>
  <si>
    <t>Answer from own code</t>
  </si>
  <si>
    <t>P7-01</t>
  </si>
  <si>
    <t>Phase 7 – Transfer</t>
  </si>
  <si>
    <t>Day 10</t>
  </si>
  <si>
    <t>Complete Basic transfer</t>
  </si>
  <si>
    <t>Phone/location, reset, filter list or validation change; track impact and retest.</t>
  </si>
  <si>
    <t>Rubric 7</t>
  </si>
  <si>
    <t>Transfer_Practice</t>
  </si>
  <si>
    <t>Existing app</t>
  </si>
  <si>
    <t>Implemented + retested</t>
  </si>
  <si>
    <t>Implemented phone/location fields across ProfileContext, ProfileSchema, ProfileScreen, and EditProfileScreen.</t>
  </si>
  <si>
    <t>Affected tests</t>
  </si>
  <si>
    <t>Impact analysis</t>
  </si>
  <si>
    <t>Affected files/state/tests</t>
  </si>
  <si>
    <t>Manual retest</t>
  </si>
  <si>
    <t>P7-02</t>
  </si>
  <si>
    <t>Complete Medium transfer</t>
  </si>
  <si>
    <t>Favorites persistence, system theme, storage helper or sort/group list.</t>
  </si>
  <si>
    <t>Before/after</t>
  </si>
  <si>
    <t>Regression</t>
  </si>
  <si>
    <t>State/data/storage impact</t>
  </si>
  <si>
    <t>Impact suggestions</t>
  </si>
  <si>
    <t>Verify all affected tests</t>
  </si>
  <si>
    <t>P7-03</t>
  </si>
  <si>
    <t>Phase 7 – AI</t>
  </si>
  <si>
    <t>Record AI usage</t>
  </si>
  <si>
    <t>Log prompt/output/use/change/verification/test/final decision.</t>
  </si>
  <si>
    <t>Rubric 8</t>
  </si>
  <si>
    <t>AI_Usage_Log</t>
  </si>
  <si>
    <t>AI-assisted work</t>
  </si>
  <si>
    <t>Traceable evidence</t>
  </si>
  <si>
    <t>Prompt/output</t>
  </si>
  <si>
    <t>Verification result</t>
  </si>
  <si>
    <t>What AI did/did not do</t>
  </si>
  <si>
    <t>Draft log</t>
  </si>
  <si>
    <t>Verify actual code/tests</t>
  </si>
  <si>
    <t>P7-04</t>
  </si>
  <si>
    <t>Phase 7 – Finalization</t>
  </si>
  <si>
    <t>Day 11</t>
  </si>
  <si>
    <t>Complete final checklist</t>
  </si>
  <si>
    <t>Technical, documentation, interview and demo checks.</t>
  </si>
  <si>
    <t>Rubric 1–8</t>
  </si>
  <si>
    <t>Final_Checklist</t>
  </si>
  <si>
    <t>All artifacts</t>
  </si>
  <si>
    <t>No critical gaps</t>
  </si>
  <si>
    <t>Evidence links</t>
  </si>
  <si>
    <t>Smoke test</t>
  </si>
  <si>
    <t>Final evidence</t>
  </si>
  <si>
    <t>Gap scan</t>
  </si>
  <si>
    <t>Manual final check</t>
  </si>
  <si>
    <t>P7-05</t>
  </si>
  <si>
    <t>Run 60-minute pre-assessment</t>
  </si>
  <si>
    <t>Execute exact 0–10, 10–25, 25–35, 35–45, 45–60 sequence.</t>
  </si>
  <si>
    <t>Before_Assessment_60min</t>
  </si>
  <si>
    <t>Submission</t>
  </si>
  <si>
    <t>Stable demo readiness</t>
  </si>
  <si>
    <t>Timing notes</t>
  </si>
  <si>
    <t>All critical tests</t>
  </si>
  <si>
    <t>Practice without AI</t>
  </si>
  <si>
    <t>Simulate mentor questions</t>
  </si>
  <si>
    <t>Use actual app</t>
  </si>
  <si>
    <t>P7-06</t>
  </si>
  <si>
    <t>Final clean run + evidence pack</t>
  </si>
  <si>
    <t>Clean run, README, RTM, DDD, Test Matrix, 2 Debug Logs, AI log if applicable, Git history.</t>
  </si>
  <si>
    <t>All sheets/repository</t>
  </si>
  <si>
    <t>Final source</t>
  </si>
  <si>
    <t>Submission-ready evidence</t>
  </si>
  <si>
    <t>Final screenshots/logs</t>
  </si>
  <si>
    <t>Cold start + demo</t>
  </si>
  <si>
    <t>Explain every artifact</t>
  </si>
  <si>
    <t>Final gap scan</t>
  </si>
  <si>
    <t>Independent verification</t>
  </si>
  <si>
    <t>Requirement ID</t>
  </si>
  <si>
    <t>Requirement</t>
  </si>
  <si>
    <t>Screen</t>
  </si>
  <si>
    <t>Component</t>
  </si>
  <si>
    <t>Code/File</t>
  </si>
  <si>
    <t>Implementation Status</t>
  </si>
  <si>
    <t>Test Case ID</t>
  </si>
  <si>
    <t>Demo Flow</t>
  </si>
  <si>
    <t>Interview Topic</t>
  </si>
  <si>
    <t>R01</t>
  </si>
  <si>
    <t>Project runs in clean environment</t>
  </si>
  <si>
    <t>App</t>
  </si>
  <si>
    <t>App root</t>
  </si>
  <si>
    <t>package.json / README</t>
  </si>
  <si>
    <t>TC01</t>
  </si>
  <si>
    <t>Clean-run screenshot/log</t>
  </si>
  <si>
    <t>Cold start</t>
  </si>
  <si>
    <t>Dependencies + run flow</t>
  </si>
  <si>
    <t>R02</t>
  </si>
  <si>
    <t>Navigation ≥5 screens/areas</t>
  </si>
  <si>
    <t>All</t>
  </si>
  <si>
    <t>Navigation</t>
  </si>
  <si>
    <t>App navigation config</t>
  </si>
  <si>
    <t>TC12</t>
  </si>
  <si>
    <t>Navigation evidence</t>
  </si>
  <si>
    <t>Home → Profile → Edit → Activity → Settings</t>
  </si>
  <si>
    <t>Navigation responsibilities</t>
  </si>
  <si>
    <t>R03</t>
  </si>
  <si>
    <t>Profile displays saved name/avatar/bio</t>
  </si>
  <si>
    <t>Profile</t>
  </si>
  <si>
    <t>Profile UI</t>
  </si>
  <si>
    <t>ProfileScreen</t>
  </si>
  <si>
    <t>TC02</t>
  </si>
  <si>
    <t>Profile screenshot</t>
  </si>
  <si>
    <t>Profile read</t>
  </si>
  <si>
    <t>Props/state/shared profile</t>
  </si>
  <si>
    <t>R04</t>
  </si>
  <si>
    <t>Edit Profile controlled form + validation + save/cancel</t>
  </si>
  <si>
    <t>Edit Profile</t>
  </si>
  <si>
    <t>Inputs/Button</t>
  </si>
  <si>
    <t>EditProfileScreen</t>
  </si>
  <si>
    <t>TC03,TC04,TC05</t>
  </si>
  <si>
    <t>Validation + save evidence</t>
  </si>
  <si>
    <t>Profile → Edit → Save/Cancel</t>
  </si>
  <si>
    <t>Controlled form</t>
  </si>
  <si>
    <t>R05</t>
  </si>
  <si>
    <t>Theme/preference shared with Context</t>
  </si>
  <si>
    <t>Settings/All</t>
  </si>
  <si>
    <t>ThemeContext</t>
  </si>
  <si>
    <t>ThemeContext / Provider</t>
  </si>
  <si>
    <t>TC06,TC07</t>
  </si>
  <si>
    <t>Theme + restart evidence</t>
  </si>
  <si>
    <t>Settings → toggle → other screen</t>
  </si>
  <si>
    <t>Context/rerender</t>
  </si>
  <si>
    <t>R06</t>
  </si>
  <si>
    <t>FlatList + empty state (dummyjson.com API, search, tags, pagination)</t>
  </si>
  <si>
    <t>Activity</t>
  </si>
  <si>
    <t>List item</t>
  </si>
  <si>
    <t>Activity screen</t>
  </si>
  <si>
    <t>TC08,TC09,TC10</t>
  </si>
  <si>
    <t>List/empty screenshots</t>
  </si>
  <si>
    <t>Activity → interact</t>
  </si>
  <si>
    <t>renderItem/keyExtractor</t>
  </si>
  <si>
    <t>FlatList implemented in ActivityScreen &amp; HomeScreen with API, search, tag filters, pagination, empty state. SectionList omitted.</t>
  </si>
  <si>
    <t>R07</t>
  </si>
  <si>
    <t>AsyncStorage persistence</t>
  </si>
  <si>
    <t>App/Profile/Settings</t>
  </si>
  <si>
    <t>ProfileContext / ThemeContext</t>
  </si>
  <si>
    <t>src/contexts/ProfileContext.js, src/contexts/ThemeContext.js</t>
  </si>
  <si>
    <t>TC07,TC11</t>
  </si>
  <si>
    <t>Restart evidence</t>
  </si>
  <si>
    <t>Save → restart</t>
  </si>
  <si>
    <t>Hydration/serialization</t>
  </si>
  <si>
    <t>Persisted in ProfileContext (@user_profile) and ThemeContext (@app_theme). Standalone storage helper omitted.</t>
  </si>
  <si>
    <t>R08</t>
  </si>
  <si>
    <t>Multiple</t>
  </si>
  <si>
    <t>CardItem / CardShortCut</t>
  </si>
  <si>
    <t>src/components/CardItem.jsx, src/components/CardShortCut.jsx</t>
  </si>
  <si>
    <t>Component usage</t>
  </si>
  <si>
    <t>Multiple screens</t>
  </si>
  <si>
    <t>Reuse/props</t>
  </si>
  <si>
    <t>CardItem (activity post card) &amp; CardShortCut (navigation shortcut card) used across screens.</t>
  </si>
  <si>
    <t>R09</t>
  </si>
  <si>
    <t>Responsive Flexbox/style</t>
  </si>
  <si>
    <t>Layout</t>
  </si>
  <si>
    <t>StyleSheet/styles</t>
  </si>
  <si>
    <t>TC01,TC16</t>
  </si>
  <si>
    <t>Device evidence</t>
  </si>
  <si>
    <t>Run on emulator/device</t>
  </si>
  <si>
    <t>Flexbox</t>
  </si>
  <si>
    <t>R10</t>
  </si>
  <si>
    <t>Error/fallback state</t>
  </si>
  <si>
    <t>Edit/Activity/Startup</t>
  </si>
  <si>
    <t>Validation/Empty/Fallback</t>
  </si>
  <si>
    <t>Screens + storage</t>
  </si>
  <si>
    <t>TC03,TC09,TC11</t>
  </si>
  <si>
    <t>Error/empty/fallback</t>
  </si>
  <si>
    <t>Invalid/empty/corrupt</t>
  </si>
  <si>
    <t>Failure path</t>
  </si>
  <si>
    <t>Decision ID</t>
  </si>
  <si>
    <t>Area</t>
  </si>
  <si>
    <t>Problem</t>
  </si>
  <si>
    <t>Chosen Solution</t>
  </si>
  <si>
    <t>Alternative</t>
  </si>
  <si>
    <t>Reason</t>
  </si>
  <si>
    <t>Trade-off</t>
  </si>
  <si>
    <t>Impact if Requirement Changes</t>
  </si>
  <si>
    <t>Related Screen</t>
  </si>
  <si>
    <t>Related Code</t>
  </si>
  <si>
    <t>D01</t>
  </si>
  <si>
    <t>Need ≥5 screens/areas</t>
  </si>
  <si>
    <t>Central navigation configuration</t>
  </si>
  <si>
    <t>Separate navigation per screen</t>
  </si>
  <si>
    <t>Central responsibility</t>
  </si>
  <si>
    <t>Adds route config</t>
  </si>
  <si>
    <t>New screens modify central map</t>
  </si>
  <si>
    <t>Navigation config</t>
  </si>
  <si>
    <t>D02</t>
  </si>
  <si>
    <t>State ownership</t>
  </si>
  <si>
    <t>Local vs shared state</t>
  </si>
  <si>
    <t>Local UI state; shared profile/theme in Context</t>
  </si>
  <si>
    <t>Prop drilling</t>
  </si>
  <si>
    <t>Matches scope</t>
  </si>
  <si>
    <t>Context rerenders consumers</t>
  </si>
  <si>
    <t>New shared state may need provider</t>
  </si>
  <si>
    <t>Profile/Edit/Settings</t>
  </si>
  <si>
    <t>Context + screens</t>
  </si>
  <si>
    <t>D03</t>
  </si>
  <si>
    <t>Persistence/hydration</t>
  </si>
  <si>
    <t>Survive restart + tolerate corrupt data</t>
  </si>
  <si>
    <t>AsyncStorage calls inside ProfileContext &amp; ThemeContext with startup hydration + safe defaults</t>
  </si>
  <si>
    <t>Direct storage calls in screens</t>
  </si>
  <si>
    <t>Centralized handling</t>
  </si>
  <si>
    <t>Hydration complexity</t>
  </si>
  <si>
    <t>Storage backend can change behind helper</t>
  </si>
  <si>
    <t>D04</t>
  </si>
  <si>
    <t>List structure</t>
  </si>
  <si>
    <t>Collection + empty state required</t>
  </si>
  <si>
    <t>FlatList + stable keyExtractor + reusable item</t>
  </si>
  <si>
    <t>Map rendering</t>
  </si>
  <si>
    <t>Matches requirement</t>
  </si>
  <si>
    <t>More setup</t>
  </si>
  <si>
    <t>Grouping may require SectionList</t>
  </si>
  <si>
    <t>Activity + item</t>
  </si>
  <si>
    <t>D05</t>
  </si>
  <si>
    <t>Reuse</t>
  </si>
  <si>
    <t>Repeated UI can drift</t>
  </si>
  <si>
    <t>Shared components with props</t>
  </si>
  <si>
    <t>Duplicate UI</t>
  </si>
  <si>
    <t>Consistency + reuse evidence</t>
  </si>
  <si>
    <t>Generic props need design</t>
  </si>
  <si>
    <t>New variants may expand API</t>
  </si>
  <si>
    <t>components/</t>
  </si>
  <si>
    <t>D06</t>
  </si>
  <si>
    <t>Validation</t>
  </si>
  <si>
    <t>Invalid data must not persist</t>
  </si>
  <si>
    <t>Validate before save</t>
  </si>
  <si>
    <t>Validate after save</t>
  </si>
  <si>
    <t>Protects persisted state</t>
  </si>
  <si>
    <t>More form logic</t>
  </si>
  <si>
    <t>New fields need rules/tests</t>
  </si>
  <si>
    <t>Test ID</t>
  </si>
  <si>
    <t>Group</t>
  </si>
  <si>
    <t>Case</t>
  </si>
  <si>
    <t>Preconditions</t>
  </si>
  <si>
    <t>Steps</t>
  </si>
  <si>
    <t>Expected Result</t>
  </si>
  <si>
    <t>Actual Result</t>
  </si>
  <si>
    <t>Bug ID</t>
  </si>
  <si>
    <t>Retest Result</t>
  </si>
  <si>
    <t>Startup</t>
  </si>
  <si>
    <t>First run</t>
  </si>
  <si>
    <t>Fresh install/no stored data</t>
  </si>
  <si>
    <t>Launch app</t>
  </si>
  <si>
    <t>Safe defaults; no crash</t>
  </si>
  <si>
    <t>Safe default profile (TrangTTT) and theme (light) loaded cleanly on cold start; no crash.</t>
  </si>
  <si>
    <t>PASSED</t>
  </si>
  <si>
    <t>App.js, ProfileContext.js, ThemeContext.js</t>
  </si>
  <si>
    <t>Profile Read</t>
  </si>
  <si>
    <t>Profile has saved/default data</t>
  </si>
  <si>
    <t>Open Profile</t>
  </si>
  <si>
    <t>Name/avatar/bio render</t>
  </si>
  <si>
    <t>Profile name, email, bio, and avatar rendered accurately from ProfileContext.</t>
  </si>
  <si>
    <t>ProfileScreen.jsx</t>
  </si>
  <si>
    <t>TC03</t>
  </si>
  <si>
    <t>Edit Invalid</t>
  </si>
  <si>
    <t>Edit open</t>
  </si>
  <si>
    <t>Enter invalid data → Save</t>
  </si>
  <si>
    <t>Validation shown; invalid data not persisted</t>
  </si>
  <si>
    <t>Formik + Yup schema validation blocked save and rendered red error text under invalid fields.</t>
  </si>
  <si>
    <t>EditProfileScreen.jsx, ProfileSchema.js</t>
  </si>
  <si>
    <t>TC04</t>
  </si>
  <si>
    <t>Edit Valid</t>
  </si>
  <si>
    <t>Enter valid data → Save</t>
  </si>
  <si>
    <t>Data saves; Profile updates without restart</t>
  </si>
  <si>
    <t>Valid inputs updated ProfileContext, saved JSON to AsyncStorage (@user_profile), displayed Toast, and navigated back.</t>
  </si>
  <si>
    <t>EditProfileScreen.jsx, ProfileContext.js</t>
  </si>
  <si>
    <t>TC05</t>
  </si>
  <si>
    <t>Edit Cancel</t>
  </si>
  <si>
    <t>Change values → Cancel</t>
  </si>
  <si>
    <t>Saved profile unchanged</t>
  </si>
  <si>
    <t>Cancel button called navigation.goBack(); saved profile remained intact without mutation.</t>
  </si>
  <si>
    <t>EditProfileScreen.jsx</t>
  </si>
  <si>
    <t>TC06</t>
  </si>
  <si>
    <t>Theme</t>
  </si>
  <si>
    <t>Theme Toggle</t>
  </si>
  <si>
    <t>Settings available</t>
  </si>
  <si>
    <t>Toggle theme/preference</t>
  </si>
  <si>
    <t>App-wide UI updates</t>
  </si>
  <si>
    <t>Toggling theme in SettingsScreen updated ThemeContext to dark/light, saved preference to AsyncStorage (@app_theme), and re-themed UI.</t>
  </si>
  <si>
    <t>SettingsScreen.jsx, ThemeContext.js</t>
  </si>
  <si>
    <t>TC07</t>
  </si>
  <si>
    <t>Persistence</t>
  </si>
  <si>
    <t>Theme/Profile Persistence</t>
  </si>
  <si>
    <t>Saved state exists</t>
  </si>
  <si>
    <t>Change → restart → reopen</t>
  </si>
  <si>
    <t>State survives restart</t>
  </si>
  <si>
    <t>Saved profile details and active theme preference persisted and hydrated successfully across app restarts.</t>
  </si>
  <si>
    <t>ProfileContext.js, ThemeContext.js</t>
  </si>
  <si>
    <t>TC08</t>
  </si>
  <si>
    <t>List</t>
  </si>
  <si>
    <t>List Normal</t>
  </si>
  <si>
    <t>Activity data exists</t>
  </si>
  <si>
    <t>Open Activity</t>
  </si>
  <si>
    <t>Items render with stable keys</t>
  </si>
  <si>
    <t>FlatList rendered post items fetched from dummyjson.com API with title, body, tags, likes, views using keyExtractor.</t>
  </si>
  <si>
    <t>ActivityScreen.jsx, activityService.js, CardItem.jsx</t>
  </si>
  <si>
    <t>TC09</t>
  </si>
  <si>
    <t>List Empty</t>
  </si>
  <si>
    <t>Activity data empty</t>
  </si>
  <si>
    <t>Empty state; no crash</t>
  </si>
  <si>
    <t>ListEmptyComponent rendered No Activities Found icon and placeholder text when search/filter returned 0 items.</t>
  </si>
  <si>
    <t>ActivityScreen.jsx</t>
  </si>
  <si>
    <t>TC10</t>
  </si>
  <si>
    <t>List Interaction</t>
  </si>
  <si>
    <t>Activity loaded</t>
  </si>
  <si>
    <t>Use state-changing interaction</t>
  </si>
  <si>
    <t>List/UI updates</t>
  </si>
  <si>
    <t>Toggling Heart icon on post cards dynamically updated local like reaction state and counts in real-time.</t>
  </si>
  <si>
    <t>CardItem.jsx, ActivityScreen.jsx, HomeScreen.jsx</t>
  </si>
  <si>
    <t>TC11</t>
  </si>
  <si>
    <t>Storage</t>
  </si>
  <si>
    <t>Storage Corrupt/Missing</t>
  </si>
  <si>
    <t>Storage missing/malformed</t>
  </si>
  <si>
    <t>Launch/read state</t>
  </si>
  <si>
    <t>Fallback/defaults; no crash</t>
  </si>
  <si>
    <t>Try-catch error handling in ProfileContext and ThemeContext caught corrupted/missing AsyncStorage data and restored safe default state.</t>
  </si>
  <si>
    <t>All Screens</t>
  </si>
  <si>
    <t>App running</t>
  </si>
  <si>
    <t>Navigate all required areas</t>
  </si>
  <si>
    <t>All reachable/back works</t>
  </si>
  <si>
    <t>React Navigation transitioned smoothly across all 5 screens (Home, Activity, Profile, EditProfile, Settings) via Stack and Tab navigators.</t>
  </si>
  <si>
    <t>AppNavigator.js</t>
  </si>
  <si>
    <t>TC13</t>
  </si>
  <si>
    <t>State Update</t>
  </si>
  <si>
    <t>Valid profile saved</t>
  </si>
  <si>
    <t>Save then revisit screens</t>
  </si>
  <si>
    <t>State consistent</t>
  </si>
  <si>
    <t>Saving updated profile updated ProfileScreen and re-populated EditProfileScreen initialValues seamlessly.</t>
  </si>
  <si>
    <t>ProfileContext.js, EditProfileScreen.jsx</t>
  </si>
  <si>
    <t>TC14</t>
  </si>
  <si>
    <t>Validation Error Reset</t>
  </si>
  <si>
    <t>Invalid input attempted</t>
  </si>
  <si>
    <t>Fix field and retry</t>
  </si>
  <si>
    <t>Errors clear appropriately</t>
  </si>
  <si>
    <t>Validation error messages cleared dynamically as soon as valid input was entered into fields.</t>
  </si>
  <si>
    <t>TC15</t>
  </si>
  <si>
    <t>Serialization</t>
  </si>
  <si>
    <t>Stored state exists</t>
  </si>
  <si>
    <t>Read/write multiple times</t>
  </si>
  <si>
    <t>Data remains correct</t>
  </si>
  <si>
    <t>JSON.stringify and JSON.parse preserved object structures cleanly during repeated read/write cycles to AsyncStorage.</t>
  </si>
  <si>
    <t>ProfileContext.js</t>
  </si>
  <si>
    <t>TC16</t>
  </si>
  <si>
    <t>Edge</t>
  </si>
  <si>
    <t>Responsive Layout</t>
  </si>
  <si>
    <t>Relevant emulator/device</t>
  </si>
  <si>
    <t>Open/resize/rotate if supported</t>
  </si>
  <si>
    <t>No critical clipping</t>
  </si>
  <si>
    <t>Flexbox styling with ScrollView, KeyboardAvoidingView, and safe area insets adapted well across screen sizes without clipping.</t>
  </si>
  <si>
    <t>src/styles/*.jsx</t>
  </si>
  <si>
    <t>TC17</t>
  </si>
  <si>
    <t>Runtime/Console</t>
  </si>
  <si>
    <t>Final build</t>
  </si>
  <si>
    <t>Run core workflow</t>
  </si>
  <si>
    <t>No serious errors</t>
  </si>
  <si>
    <t>Full application workflow executed without unhandled exceptions or console errors.</t>
  </si>
  <si>
    <t>App runtime log</t>
  </si>
  <si>
    <t>Question</t>
  </si>
  <si>
    <t>What I should answer</t>
  </si>
  <si>
    <t>Code/file to open</t>
  </si>
  <si>
    <t>≤30 sec explanation</t>
  </si>
  <si>
    <t>Practice status</t>
  </si>
  <si>
    <t>What is a component and why split UI?</t>
  </si>
  <si>
    <t>Focused UI responsibility; reusable/composable.</t>
  </si>
  <si>
    <t>Screen + components/</t>
  </si>
  <si>
    <t>Purpose → props → state → output → failure.</t>
  </si>
  <si>
    <t>How do props, state and Context differ?</t>
  </si>
  <si>
    <t>Props pass data; state belongs to component; Context shares selected state.</t>
  </si>
  <si>
    <t>Screen + Context</t>
  </si>
  <si>
    <t>Who owns data and why.</t>
  </si>
  <si>
    <t>Why does changing state rerender?</t>
  </si>
  <si>
    <t>React updates UI from changed state.</t>
  </si>
  <si>
    <t>State-owning component</t>
  </si>
  <si>
    <t>State → render → UI.</t>
  </si>
  <si>
    <t>Why not mutate state directly?</t>
  </si>
  <si>
    <t>Use a new value and setter so React can detect intended update.</t>
  </si>
  <si>
    <t>List/profile state</t>
  </si>
  <si>
    <t>Immutable update example.</t>
  </si>
  <si>
    <t>Why keyExtractor?</t>
  </si>
  <si>
    <t>Stable keys let list rendering track items correctly.</t>
  </si>
  <si>
    <t>Item → stable key → rendering.</t>
  </si>
  <si>
    <t>How does controlled form work?</t>
  </si>
  <si>
    <t>Input value comes from state; onChange updates state.</t>
  </si>
  <si>
    <t>EditProfile</t>
  </si>
  <si>
    <t>Input → state → validate → save.</t>
  </si>
  <si>
    <t>How does validation prevent bad persistence?</t>
  </si>
  <si>
    <t>Validate before save; reject invalid data.</t>
  </si>
  <si>
    <t>Validate → reject or save.</t>
  </si>
  <si>
    <t>Why Context for theme/profile?</t>
  </si>
  <si>
    <t>Shared across screens and should update consumers.</t>
  </si>
  <si>
    <t>Contexts</t>
  </si>
  <si>
    <t>Provider → consumers.</t>
  </si>
  <si>
    <t>How does AsyncStorage persistence work?</t>
  </si>
  <si>
    <t>Serialize on save; deserialize on read; hydrate startup; fallback on failure.</t>
  </si>
  <si>
    <t>Storage helper/provider</t>
  </si>
  <si>
    <t>Save → JSON → storage; startup → parse → state.</t>
  </si>
  <si>
    <t>What if storage is null/invalid JSON?</t>
  </si>
  <si>
    <t>Treat as missing/corrupt and use safe defaults.</t>
  </si>
  <si>
    <t>Storage helper</t>
  </si>
  <si>
    <t>Read → validate/parse → fallback.</t>
  </si>
  <si>
    <t>New screen needs profile data—what changes?</t>
  </si>
  <si>
    <t>Consume shared Profile Context instead of duplicate state.</t>
  </si>
  <si>
    <t>New screen + ProfileContext</t>
  </si>
  <si>
    <t>Existing provider owns profile.</t>
  </si>
  <si>
    <t>What is a custom hook?</t>
  </si>
  <si>
    <t>Reusable stateful logic function when logic repeats or should be separated.</t>
  </si>
  <si>
    <t>Hook if applicable</t>
  </si>
  <si>
    <t>Hook logic → component UI.</t>
  </si>
  <si>
    <t>Profile not updating after save—how debug?</t>
  </si>
  <si>
    <t>Trace trigger, form state, validation, shared state, storage, rerender.</t>
  </si>
  <si>
    <t>Edit/Profile/Context/storage</t>
  </si>
  <si>
    <t>Symptom → narrow → inspect → fix → retest.</t>
  </si>
  <si>
    <t>Adding phone/location—what changes?</t>
  </si>
  <si>
    <t>Model, form, validation, storage/shared state, UI, tests and evidence as needed.</t>
  </si>
  <si>
    <t>Profile + Edit + storage + tests</t>
  </si>
  <si>
    <t>Impact analysis first.</t>
  </si>
  <si>
    <t>How did AI help and how verify?</t>
  </si>
  <si>
    <t>State task, what was used, what changed, and verification.</t>
  </si>
  <si>
    <t>AI log + changed code</t>
  </si>
  <si>
    <t>AI suggestion is verified, not blindly accepted.</t>
  </si>
  <si>
    <t>Explain one real debug case.</t>
  </si>
  <si>
    <t>Symptom, expected/actual, hypothesis, checks, root cause, fix, retest.</t>
  </si>
  <si>
    <t>Debug_Log + code</t>
  </si>
  <si>
    <t>30-sec summary then details.</t>
  </si>
  <si>
    <t>Change request</t>
  </si>
  <si>
    <t>Screen affected</t>
  </si>
  <si>
    <t>Component affected</t>
  </si>
  <si>
    <t>State affected</t>
  </si>
  <si>
    <t>Data affected</t>
  </si>
  <si>
    <t>Service/storage affected</t>
  </si>
  <si>
    <t>UI affected</t>
  </si>
  <si>
    <t>Tests affected</t>
  </si>
  <si>
    <t>Implementation</t>
  </si>
  <si>
    <t>Retest</t>
  </si>
  <si>
    <t>Basic: Add phone/location</t>
  </si>
  <si>
    <t>Profile + Edit</t>
  </si>
  <si>
    <t>Profile/inputs</t>
  </si>
  <si>
    <t>profile + form</t>
  </si>
  <si>
    <t>phone/location</t>
  </si>
  <si>
    <t>AsyncStorage/profile model</t>
  </si>
  <si>
    <t>Read/edit/validation/persistence</t>
  </si>
  <si>
    <t>Model + validation + storage + UI + tests</t>
  </si>
  <si>
    <t>Implemented: Added phone &amp; location to ProfileContext, ProfileSchema validation, ProfileScreen UI, and EditProfileScreen inputs.</t>
  </si>
  <si>
    <t>PASSED: Tested edit, validation, AsyncStorage save, and restart persistence.</t>
  </si>
  <si>
    <t>Basic: Reset form</t>
  </si>
  <si>
    <t>Reset button</t>
  </si>
  <si>
    <t>form + errors</t>
  </si>
  <si>
    <t>none</t>
  </si>
  <si>
    <t>Reset controls</t>
  </si>
  <si>
    <t>Edit invalid/valid/cancel</t>
  </si>
  <si>
    <t>Clear form/errors without changing saved profile</t>
  </si>
  <si>
    <t>PLANNED</t>
  </si>
  <si>
    <t>Basic: Filter activity/interests</t>
  </si>
  <si>
    <t>Filter + item</t>
  </si>
  <si>
    <t>filter + list</t>
  </si>
  <si>
    <t>filtered collection</t>
  </si>
  <si>
    <t>Filter UI</t>
  </si>
  <si>
    <t>List normal/empty/interaction</t>
  </si>
  <si>
    <t>Add filter state and derive visible data</t>
  </si>
  <si>
    <t>Basic: Change validation rule</t>
  </si>
  <si>
    <t>Input/error</t>
  </si>
  <si>
    <t>form/error</t>
  </si>
  <si>
    <t>profile field</t>
  </si>
  <si>
    <t>storage unchanged</t>
  </si>
  <si>
    <t>Error text</t>
  </si>
  <si>
    <t>Invalid/valid/cancel</t>
  </si>
  <si>
    <t>Update rule + tests</t>
  </si>
  <si>
    <t>Medium: Favorites + persistence</t>
  </si>
  <si>
    <t>Favorite control</t>
  </si>
  <si>
    <t>favorites</t>
  </si>
  <si>
    <t>favorite IDs</t>
  </si>
  <si>
    <t>AsyncStorage</t>
  </si>
  <si>
    <t>Favorite indicator</t>
  </si>
  <si>
    <t>Interaction + persistence</t>
  </si>
  <si>
    <t>State + storage + hydration + tests</t>
  </si>
  <si>
    <t>Medium: System theme</t>
  </si>
  <si>
    <t>theme</t>
  </si>
  <si>
    <t>preference</t>
  </si>
  <si>
    <t>storage/system</t>
  </si>
  <si>
    <t>Theme UI</t>
  </si>
  <si>
    <t>Theme/persistence</t>
  </si>
  <si>
    <t>Change source of truth while preserving consumers</t>
  </si>
  <si>
    <t>Medium: Separate storage helper</t>
  </si>
  <si>
    <t>All persistent</t>
  </si>
  <si>
    <t>Storage utility</t>
  </si>
  <si>
    <t>persistence flow</t>
  </si>
  <si>
    <t>serialized objects</t>
  </si>
  <si>
    <t>AsyncStorage helper</t>
  </si>
  <si>
    <t>No direct UI change</t>
  </si>
  <si>
    <t>Persistence/corrupt</t>
  </si>
  <si>
    <t>Move storage calls behind helper and retest</t>
  </si>
  <si>
    <t>Medium: Sort/group list</t>
  </si>
  <si>
    <t>List + item</t>
  </si>
  <si>
    <t>derived list</t>
  </si>
  <si>
    <t>collection order/groups</t>
  </si>
  <si>
    <t>Headers/order</t>
  </si>
  <si>
    <t>Normal/empty/interaction</t>
  </si>
  <si>
    <t>Verify keys and empty state</t>
  </si>
  <si>
    <t>Advanced: Mock authentication</t>
  </si>
  <si>
    <t>App/Profile</t>
  </si>
  <si>
    <t>Auth screens/context</t>
  </si>
  <si>
    <t>auth</t>
  </si>
  <si>
    <t>session</t>
  </si>
  <si>
    <t>mock persistence</t>
  </si>
  <si>
    <t>Login/logout</t>
  </si>
  <si>
    <t>Navigation/persistence</t>
  </si>
  <si>
    <t>Shared auth + protected flow</t>
  </si>
  <si>
    <t>Advanced: Mock API</t>
  </si>
  <si>
    <t>Profile/Activity</t>
  </si>
  <si>
    <t>Service layer</t>
  </si>
  <si>
    <t>loading/error/data</t>
  </si>
  <si>
    <t>API-shaped data</t>
  </si>
  <si>
    <t>mock API</t>
  </si>
  <si>
    <t>Loading/error UI</t>
  </si>
  <si>
    <t>Service + edge cases</t>
  </si>
  <si>
    <t>Add async boundary while preserving UI contract</t>
  </si>
  <si>
    <t>Advanced: Offline draft</t>
  </si>
  <si>
    <t>Draft controls</t>
  </si>
  <si>
    <t>draft + saved profile</t>
  </si>
  <si>
    <t>draft data</t>
  </si>
  <si>
    <t>Draft recovery</t>
  </si>
  <si>
    <t>Form + restart</t>
  </si>
  <si>
    <t>Separate draft from saved profile</t>
  </si>
  <si>
    <t>Date</t>
  </si>
  <si>
    <t>Prompt</t>
  </si>
  <si>
    <t>Purpose</t>
  </si>
  <si>
    <t>AI Output</t>
  </si>
  <si>
    <t>What I Used</t>
  </si>
  <si>
    <t>What I Changed</t>
  </si>
  <si>
    <t>Verification Method</t>
  </si>
  <si>
    <t>Test Result</t>
  </si>
  <si>
    <t>Final Decision</t>
  </si>
  <si>
    <t>AI-01</t>
  </si>
  <si>
    <t>Requirement analysis</t>
  </si>
  <si>
    <t>Traceability &amp; completeness check</t>
  </si>
  <si>
    <t>Structured RTM mapping for R01-R10</t>
  </si>
  <si>
    <t>RTM requirement breakdown</t>
  </si>
  <si>
    <t>Mapped exact codebase file paths (AppNavigator, ProfileContext, etc.)</t>
  </si>
  <si>
    <t>Compared PDF guide against source code</t>
  </si>
  <si>
    <t>PASS</t>
  </si>
  <si>
    <t>Accepted &amp; Verified</t>
  </si>
  <si>
    <t>AI-02</t>
  </si>
  <si>
    <t>Design reasoning</t>
  </si>
  <si>
    <t>Structure Design Decision Record (DDD)</t>
  </si>
  <si>
    <t>6 architectural decision trade-offs (D01-D06)</t>
  </si>
  <si>
    <t>Core state &amp; persistence trade-offs</t>
  </si>
  <si>
    <t>Refined D03 to reflect Context-based AsyncStorage persistence</t>
  </si>
  <si>
    <t>Inspected codebase architecture</t>
  </si>
  <si>
    <t>AI-05</t>
  </si>
  <si>
    <t>Code explanation</t>
  </si>
  <si>
    <t>Interview preparation</t>
  </si>
  <si>
    <t>Answers for 17 interview questions</t>
  </si>
  <si>
    <t>Core technical concepts</t>
  </si>
  <si>
    <t>Anchored explanations to specific codebase file locations</t>
  </si>
  <si>
    <t>Mock self-interview using codebase</t>
  </si>
  <si>
    <t>AI-06</t>
  </si>
  <si>
    <t>Transfer practice</t>
  </si>
  <si>
    <t>Analyze impact and code changes for adding phone/location fields</t>
  </si>
  <si>
    <t>Implement Basic Transfer task</t>
  </si>
  <si>
    <t>Impact analysis across model, schema, UI, and storage</t>
  </si>
  <si>
    <t>Full impact analysis list</t>
  </si>
  <si>
    <t>Implemented phone &amp; location in ProfileContext, ProfileSchema, ProfileScreen, EditProfileScreen</t>
  </si>
  <si>
    <t>Tested edit form save and AsyncStorage reload</t>
  </si>
  <si>
    <t>Section</t>
  </si>
  <si>
    <t>Checklist Item</t>
  </si>
  <si>
    <t>Checkbox</t>
  </si>
  <si>
    <t>Technical</t>
  </si>
  <si>
    <t>App runs clean</t>
  </si>
  <si>
    <t>☑</t>
  </si>
  <si>
    <t>App.js, package.json</t>
  </si>
  <si>
    <t>≥5 screens/areas</t>
  </si>
  <si>
    <t>AppNavigator.js (5 screens)</t>
  </si>
  <si>
    <t>Navigation verified</t>
  </si>
  <si>
    <t>Profile read works</t>
  </si>
  <si>
    <t>Edit form works</t>
  </si>
  <si>
    <t>Validation blocks invalid save</t>
  </si>
  <si>
    <t>ProfileSchema.js, EditProfileScreen.jsx</t>
  </si>
  <si>
    <t>Cancel preserves saved data</t>
  </si>
  <si>
    <t>Theme/preference app-wide</t>
  </si>
  <si>
    <t>ThemeContext.js, SettingsScreen.jsx</t>
  </si>
  <si>
    <t>FlatList/SectionList</t>
  </si>
  <si>
    <t>ActivityScreen.jsx, HomeScreen.jsx</t>
  </si>
  <si>
    <t>Empty state</t>
  </si>
  <si>
    <t>ActivityScreen.jsx (ListEmptyComponent)</t>
  </si>
  <si>
    <t>Restart persistence</t>
  </si>
  <si>
    <t>Missing/corrupt fallback</t>
  </si>
  <si>
    <t>Responsive layout</t>
  </si>
  <si>
    <t>CardItem.jsx, CardShortCut.jsx</t>
  </si>
  <si>
    <t>No serious runtime/console errors</t>
  </si>
  <si>
    <t>Documentation</t>
  </si>
  <si>
    <t>README complete</t>
  </si>
  <si>
    <t>README.md</t>
  </si>
  <si>
    <t>RTM complete</t>
  </si>
  <si>
    <t>RTM sheet</t>
  </si>
  <si>
    <t>DDD complete</t>
  </si>
  <si>
    <t>Design_Decision_Record sheet</t>
  </si>
  <si>
    <t>Test Matrix actual results</t>
  </si>
  <si>
    <t>Test_Matrix sheet</t>
  </si>
  <si>
    <t>2 real Debug Logs</t>
  </si>
  <si>
    <t>Plan / Debug logs</t>
  </si>
  <si>
    <t>AI Log if applicable</t>
  </si>
  <si>
    <t>AI_Usage_Log sheet</t>
  </si>
  <si>
    <t>Git history if required</t>
  </si>
  <si>
    <t>Git repository</t>
  </si>
  <si>
    <t>Interview</t>
  </si>
  <si>
    <t>Edit flow explanation</t>
  </si>
  <si>
    <t>Theme/persistence explanation</t>
  </si>
  <si>
    <t>ThemeContext.js, AsyncStorage</t>
  </si>
  <si>
    <t>State ownership explanation</t>
  </si>
  <si>
    <t>Navigation explanation</t>
  </si>
  <si>
    <t>List/key/empty explanation</t>
  </si>
  <si>
    <t>ActivityScreen.jsx (FlatList)</t>
  </si>
  <si>
    <t>AsyncStorage hydration/fallback</t>
  </si>
  <si>
    <t>Real debug explanation</t>
  </si>
  <si>
    <t>Plan &amp; Debug logs</t>
  </si>
  <si>
    <t>Transfer explanation</t>
  </si>
  <si>
    <t>Transfer_Practice sheet</t>
  </si>
  <si>
    <t>AI verification explanation</t>
  </si>
  <si>
    <t>Final Demo</t>
  </si>
  <si>
    <t>Cold start works</t>
  </si>
  <si>
    <t>App.js</t>
  </si>
  <si>
    <t>Main workflow works</t>
  </si>
  <si>
    <t>MainTabs &amp; Stack screens</t>
  </si>
  <si>
    <t>Negative/edge demo ready</t>
  </si>
  <si>
    <t>Test_Matrix edge cases</t>
  </si>
  <si>
    <t>Debug explanation ready</t>
  </si>
  <si>
    <t>Debug logs</t>
  </si>
  <si>
    <t>Modification explanation ready</t>
  </si>
  <si>
    <t>Evidence easy to locate</t>
  </si>
  <si>
    <t>Workbook &amp; source repo</t>
  </si>
  <si>
    <t>Metric</t>
  </si>
  <si>
    <t>Value</t>
  </si>
  <si>
    <t>Total Tasks</t>
  </si>
  <si>
    <t>Main plan</t>
  </si>
  <si>
    <t>CÁCH DÙNG FILE</t>
  </si>
  <si>
    <t>Not started</t>
  </si>
  <si>
    <t>① Làm theo MMA301_Assignment1_Plan.
② Cập nhật Status + Evidence sau mỗi task.
③ Test thật thì điền Actual Result + Status.
④ Interview: luyện trả lời bằng chính code của mình.
⑤ Transfer: ghi impact → implementation → retest.</t>
  </si>
  <si>
    <t>DOING</t>
  </si>
  <si>
    <t>In progress</t>
  </si>
  <si>
    <t>Completed</t>
  </si>
  <si>
    <t>Blocked</t>
  </si>
  <si>
    <t>Progress %</t>
  </si>
  <si>
    <t>DONE / total</t>
  </si>
  <si>
    <t>HIGH Priority</t>
  </si>
  <si>
    <t>High priority</t>
  </si>
  <si>
    <t>MEDIUM Priority</t>
  </si>
  <si>
    <t>Medium priority</t>
  </si>
  <si>
    <t>LOW Priority</t>
  </si>
  <si>
    <t>Low priority</t>
  </si>
  <si>
    <t>RTM Requirements</t>
  </si>
  <si>
    <t>R01–R10</t>
  </si>
  <si>
    <t>Rubric Areas</t>
  </si>
  <si>
    <t>Test Cases</t>
  </si>
  <si>
    <t>Required + extra</t>
  </si>
  <si>
    <t>Debug Logs</t>
  </si>
  <si>
    <t>Practice + real placeholders</t>
  </si>
  <si>
    <t>Transfer Tasks</t>
  </si>
  <si>
    <t>Basic/Medium/Advanced</t>
  </si>
  <si>
    <t>Tasks by Phase</t>
  </si>
  <si>
    <t>Main plan task count</t>
  </si>
  <si>
    <t>Evidence gaps to watch</t>
  </si>
  <si>
    <t>Actual Test Results</t>
  </si>
  <si>
    <t>Fill after executing tests</t>
  </si>
  <si>
    <t>Real Debug Logs</t>
  </si>
  <si>
    <t>Replace placeholders with real root causes</t>
  </si>
  <si>
    <t>Final Checklist DONE</t>
  </si>
  <si>
    <t>Complete before submission</t>
  </si>
  <si>
    <t>Interview DONE</t>
  </si>
  <si>
    <t>Practice without reading</t>
  </si>
  <si>
    <t>AI-07</t>
  </si>
  <si>
    <t>Execution flow / Code explanation</t>
  </si>
  <si>
    <t>Understand the actual runtime and data-execution flow instead of memorizing individual files</t>
  </si>
  <si>
    <t>Used the flow to prepare code explanation/demo and connect individual files into one execution chain</t>
  </si>
  <si>
    <t>Traced the actual project source from entry point through App, navigation, contexts, screens, service and FlatList; compared expected flow with runtime behavior</t>
  </si>
  <si>
    <r>
      <t xml:space="preserve">Tôi là người mới học React Native và muốn tìm hiểu rõ quy luật thực thi của chương trình theo từng bước (step by step). Hãy phân tích quy luật thực thi của ứng dụng trong Assignment 1 và hiển thị workflow thực thi dưới dạng: </t>
    </r>
    <r>
      <rPr>
        <b/>
        <sz val="10"/>
        <color theme="1"/>
        <rFont val="Arial Unicode MS"/>
      </rPr>
      <t>method() → method() → method() → ...</t>
    </r>
    <r>
      <rPr>
        <b/>
        <sz val="11"/>
        <color theme="1"/>
        <rFont val="Calibri"/>
        <family val="2"/>
        <scheme val="minor"/>
      </rPr>
      <t xml:space="preserve">. Bắt đầu từ khi tôi chạy </t>
    </r>
    <r>
      <rPr>
        <b/>
        <sz val="10"/>
        <color theme="1"/>
        <rFont val="Arial Unicode MS"/>
      </rPr>
      <t>npm start</t>
    </r>
    <r>
      <rPr>
        <b/>
        <sz val="11"/>
        <color theme="1"/>
        <rFont val="Calibri"/>
        <family val="2"/>
        <scheme val="minor"/>
      </rPr>
      <t>, cho đến khi ứng dụng nạp dữ liệu và hiển thị dữ liệu lên List. Hãy giải thích chi tiết từng bước và từng dòng lệnh quan trọng để giúp tôi hiểu được quá trình thực thi thực tế của chương trình. Lưu ý quan trọng: Mọi phân tích phải bắt đầu từ App.js trước, sau đó đi từ từ xuống các component, navigator, screen, context, service, storage/helper... theo đúng luồng thực thi thực tế của project. Không được nhảy thẳng vào một file hoặc method ở giữa. Hãy chỉ ra rõ: File nào được chạy trước. Method/function nào được gọi. Method nào gọi method nào. Dữ liệu được lấy từ đâu. Dữ liệu đi qua những file/function nào. Cuối cùng dữ liệu được đưa vào List và render lên UI như thế nào. Mục tiêu: Tôi muốn hiểu được toàn bộ execution flow của ứng dụng từ lúc npm start → App.js → các thành phần bên dưới → lấy dữ liệu → xử lý dữ liệu → render dữ liệu lên List, thay vì chỉ biết từng file riêng lẻ làm gì.</t>
    </r>
  </si>
  <si>
    <r>
      <t xml:space="preserve">Step-by-step flow from </t>
    </r>
    <r>
      <rPr>
        <sz val="10"/>
        <color theme="1"/>
        <rFont val="Arial Unicode MS"/>
      </rPr>
      <t>npm start</t>
    </r>
    <r>
      <rPr>
        <sz val="11"/>
        <color theme="1"/>
        <rFont val="Calibri"/>
        <family val="2"/>
        <scheme val="minor"/>
      </rPr>
      <t xml:space="preserve"> → Expo/Metro → </t>
    </r>
    <r>
      <rPr>
        <sz val="10"/>
        <color theme="1"/>
        <rFont val="Arial Unicode MS"/>
      </rPr>
      <t>index.js</t>
    </r>
    <r>
      <rPr>
        <sz val="11"/>
        <color theme="1"/>
        <rFont val="Calibri"/>
        <family val="2"/>
        <scheme val="minor"/>
      </rPr>
      <t xml:space="preserve"> → </t>
    </r>
    <r>
      <rPr>
        <sz val="10"/>
        <color theme="1"/>
        <rFont val="Arial Unicode MS"/>
      </rPr>
      <t>App()</t>
    </r>
    <r>
      <rPr>
        <sz val="11"/>
        <color theme="1"/>
        <rFont val="Calibri"/>
        <family val="2"/>
        <scheme val="minor"/>
      </rPr>
      <t xml:space="preserve"> → providers → navigation → screen → </t>
    </r>
    <r>
      <rPr>
        <sz val="10"/>
        <color theme="1"/>
        <rFont val="Arial Unicode MS"/>
      </rPr>
      <t>useEffect()</t>
    </r>
    <r>
      <rPr>
        <sz val="11"/>
        <color theme="1"/>
        <rFont val="Calibri"/>
        <family val="2"/>
        <scheme val="minor"/>
      </rPr>
      <t xml:space="preserve"> → service → Axios → API → state → </t>
    </r>
    <r>
      <rPr>
        <sz val="10"/>
        <color theme="1"/>
        <rFont val="Arial Unicode MS"/>
      </rPr>
      <t>FlatList</t>
    </r>
    <r>
      <rPr>
        <sz val="11"/>
        <color theme="1"/>
        <rFont val="Calibri"/>
        <family val="2"/>
        <scheme val="minor"/>
      </rPr>
      <t xml:space="preserve"> → </t>
    </r>
    <r>
      <rPr>
        <sz val="10"/>
        <color theme="1"/>
        <rFont val="Arial Unicode MS"/>
      </rPr>
      <t>renderItem()</t>
    </r>
    <r>
      <rPr>
        <sz val="11"/>
        <color theme="1"/>
        <rFont val="Calibri"/>
        <family val="2"/>
        <scheme val="minor"/>
      </rPr>
      <t xml:space="preserve"> → reusable card → UI</t>
    </r>
  </si>
  <si>
    <t>AI-08</t>
  </si>
  <si>
    <t>Professional engineering / List design</t>
  </si>
  <si>
    <t>Continue: I want to understand professional problems and engineering practices used by large software companies, professional software projects, and production e-commerce projects. Please explain the design and use of ListView/list components in a real e-commerce project, specifically how they are applied and used in production. Relate the explanation to React Native FlatList and the current Assignment 1 implementation.</t>
  </si>
  <si>
    <r>
      <t xml:space="preserve">Understand how the current academic </t>
    </r>
    <r>
      <rPr>
        <sz val="10"/>
        <color theme="1"/>
        <rFont val="Arial Unicode MS"/>
      </rPr>
      <t>FlatList</t>
    </r>
    <r>
      <rPr>
        <sz val="11"/>
        <color theme="1"/>
        <rFont val="Calibri"/>
        <family val="2"/>
        <scheme val="minor"/>
      </rPr>
      <t xml:space="preserve"> implementation relates to production-scale list design</t>
    </r>
  </si>
  <si>
    <t>Explained list responsibilities such as data source, item rendering, keys, pagination/infinite loading, refresh, loading/empty/error states, performance, state ownership and reusable item components; connected concepts to e-commerce catalog/product-list scenarios</t>
  </si>
  <si>
    <r>
      <t xml:space="preserve">Professional list-design concepts that can be applied when explaining the current </t>
    </r>
    <r>
      <rPr>
        <sz val="10"/>
        <color theme="1"/>
        <rFont val="Arial Unicode MS"/>
      </rPr>
      <t>FlatList</t>
    </r>
    <r>
      <rPr>
        <sz val="11"/>
        <color theme="1"/>
        <rFont val="Calibri"/>
        <family val="2"/>
        <scheme val="minor"/>
      </rPr>
      <t xml:space="preserve"> implementation</t>
    </r>
  </si>
  <si>
    <t>No unnecessary production features were added to Assignment 1; used the concepts mainly for understanding, code explanation and future design reasoning</t>
  </si>
  <si>
    <r>
      <t xml:space="preserve">Compared professional concepts against current </t>
    </r>
    <r>
      <rPr>
        <sz val="10"/>
        <color theme="1"/>
        <rFont val="Arial Unicode MS"/>
      </rPr>
      <t>HomeScreen</t>
    </r>
    <r>
      <rPr>
        <sz val="11"/>
        <color theme="1"/>
        <rFont val="Calibri"/>
        <family val="2"/>
        <scheme val="minor"/>
      </rPr>
      <t>/</t>
    </r>
    <r>
      <rPr>
        <sz val="10"/>
        <color theme="1"/>
        <rFont val="Arial Unicode MS"/>
      </rPr>
      <t>ActivityScreen</t>
    </r>
    <r>
      <rPr>
        <sz val="11"/>
        <color theme="1"/>
        <rFont val="Calibri"/>
        <family val="2"/>
        <scheme val="minor"/>
      </rPr>
      <t xml:space="preserve">, </t>
    </r>
    <r>
      <rPr>
        <sz val="10"/>
        <color theme="1"/>
        <rFont val="Arial Unicode MS"/>
      </rPr>
      <t>FlatList</t>
    </r>
    <r>
      <rPr>
        <sz val="11"/>
        <color theme="1"/>
        <rFont val="Calibri"/>
        <family val="2"/>
        <scheme val="minor"/>
      </rPr>
      <t xml:space="preserve">, </t>
    </r>
    <r>
      <rPr>
        <sz val="10"/>
        <color theme="1"/>
        <rFont val="Arial Unicode MS"/>
      </rPr>
      <t>CardItem</t>
    </r>
    <r>
      <rPr>
        <sz val="11"/>
        <color theme="1"/>
        <rFont val="Calibri"/>
        <family val="2"/>
        <scheme val="minor"/>
      </rPr>
      <t>, API service, search/filter and pagination implementation; checked against Assignment 1 list requirements</t>
    </r>
  </si>
  <si>
    <t>Accepted for learning/design reasoning; no unnecessary code change</t>
  </si>
  <si>
    <t>AI-09</t>
  </si>
  <si>
    <t>2026-10-03 / 2026-10-05</t>
  </si>
  <si>
    <t>Documentation / README</t>
  </si>
  <si>
    <t>Review and structure an English README for MMA301 Assignment 1 covering features, architecture, navigation, state ownership, AsyncStorage, Formik/Yup, Axios/DummyJSON, FlatList, requirements and limitations</t>
  </si>
  <si>
    <t>Produce submission-ready project documentation</t>
  </si>
  <si>
    <t>README structure and concise descriptions of architecture, features, persistence, API/list behavior and limitations</t>
  </si>
  <si>
    <t>Documentation structure and technical descriptions</t>
  </si>
  <si>
    <t>Adapted the README to the actual project rather than copying generic architecture; added actual project features and implementation details</t>
  </si>
  <si>
    <t>Compared README statements with source code and assignment requirements</t>
  </si>
  <si>
    <t>AI-10</t>
  </si>
  <si>
    <t>2026-10-02 → 2026-10-05</t>
  </si>
  <si>
    <t>Runtime debugging / troubleshooting</t>
  </si>
  <si>
    <t>Analyze React Native runtime/import/state issues encountered during Assignment 1, including component import/export problems, profile data/state issues and development-environment problems</t>
  </si>
  <si>
    <t>Diagnose actual runtime/build issues without blindly changing unrelated code</t>
  </si>
  <si>
    <r>
      <t xml:space="preserve">Root-cause hypotheses and targeted fixes for issues such as </t>
    </r>
    <r>
      <rPr>
        <sz val="10"/>
        <color theme="1"/>
        <rFont val="Arial Unicode MS"/>
      </rPr>
      <t>CardShortCut</t>
    </r>
    <r>
      <rPr>
        <sz val="11"/>
        <color theme="1"/>
        <rFont val="Calibri"/>
        <family val="2"/>
        <scheme val="minor"/>
      </rPr>
      <t xml:space="preserve"> import/export, </t>
    </r>
    <r>
      <rPr>
        <sz val="10"/>
        <color theme="1"/>
        <rFont val="Arial Unicode MS"/>
      </rPr>
      <t>profile.name</t>
    </r>
    <r>
      <rPr>
        <sz val="11"/>
        <color theme="1"/>
        <rFont val="Calibri"/>
        <family val="2"/>
        <scheme val="minor"/>
      </rPr>
      <t xml:space="preserve"> null handling, and Windows case-only file rename behavior</t>
    </r>
  </si>
  <si>
    <t>Applied only fixes that matched the actual source/error and project structure</t>
  </si>
  <si>
    <t>Re-ran the affected screen/workflow and checked imports/state behavior after each fix</t>
  </si>
  <si>
    <t>AI-11</t>
  </si>
  <si>
    <t>2026-10-05 → 2026-10-06</t>
  </si>
  <si>
    <t>Final verification / engineering practice</t>
  </si>
  <si>
    <t>Review the Assignment 1 finalization process from testing, debugging and verification through README, Test Matrix, Debug Logs, AI Usage Log and final demo preparation</t>
  </si>
  <si>
    <t>Ensure the submission evidence is complete and consistent with the assignment guide</t>
  </si>
  <si>
    <t>Final verification checklist and recommended relationship between test evidence, debug logs, AI log, README and Git history</t>
  </si>
  <si>
    <t>Used the checklist to organize final evidence instead of changing working features unnecessarily</t>
  </si>
  <si>
    <t>Cross-checked submission artifacts against Assignment 1 requirements and actual project state</t>
  </si>
  <si>
    <t>PASS*</t>
  </si>
  <si>
    <t>Accepted; final evidence must reflect actual executed tests</t>
  </si>
  <si>
    <t>Review the Assignment 1 PDF and convert all requirements R01–R10 into a Requirement Traceability Matrix (RTM). For each requirement, identify the expected feature/behavior, the actual file/component in my React Native project that satisfies it, and the minimum test/evidence needed to verify it. Use the assignment PDF as the source of truth and do not invent requirements.</t>
  </si>
  <si>
    <t>Review my Assignment 1 architecture and help me reason about state ownership and persistence. Analyze which state should be local to a screen/component, which state should be shared through Context, and which state should persist through AsyncStorage. Explain the trade-offs and produce Design Decision Record entries for the chosen navigation, state ownership, persistence/hydration, list structure, and component reuse decisions.</t>
  </si>
  <si>
    <t>Prepare concise 30-second interview answers for the React Native concepts I need to explain in Assignment 1. Focus on concepts that can be demonstrated directly in my codebase: component/props/state, re-rendering, Context and Provider/Consumer, controlled forms, Formik/Yup validation, navigation, FlatList, renderItem, keyExtractor, state mutation, AsyncStorage persistence/hydration, reusable components, and the Profile/Activity data flow. Anchor each explanation to the actual project instead of giving only textbook definitions.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</si>
</sst>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b/>
      <sz val="10"/>
      <color rgb="FFFFFFFF"/>
      <name val="Calibri"/>
    </font>
    <font>
      <sz val="10"/>
      <color rgb="FFE6EDF3"/>
      <name val="Calibri"/>
    </font>
    <font>
      <sz val="10"/>
      <color rgb="FF000000"/>
      <name val="Calibri"/>
    </font>
    <font>
      <b/>
      <sz val="10"/>
      <color rgb="FF56616F"/>
      <name val="Calibri"/>
    </font>
    <font>
      <sz val="10"/>
      <color rgb="FF434343"/>
      <name val="Calibri"/>
    </font>
    <font>
      <b/>
      <sz val="11"/>
      <color rgb="FFFFFFFF"/>
      <name val="Calibri"/>
      <scheme val="minor"/>
    </font>
    <font>
      <b/>
      <sz val="10"/>
      <color rgb="FF5B6573"/>
      <name val="Calibri"/>
    </font>
    <font>
      <b/>
      <sz val="10"/>
      <color rgb="FF245A8D"/>
      <name val="Calibri"/>
    </font>
    <font>
      <b/>
      <sz val="10"/>
      <color rgb="FF315E8A"/>
      <name val="Calibri"/>
    </font>
    <font>
      <b/>
      <sz val="10"/>
      <color rgb="FF263238"/>
      <name val="Calibri"/>
    </font>
    <font>
      <sz val="10"/>
      <color rgb="FF263238"/>
      <name val="Calibri"/>
    </font>
    <font>
      <b/>
      <sz val="10"/>
      <color rgb="FF9C3030"/>
      <name val="Calibri"/>
    </font>
    <font>
      <sz val="11"/>
      <color theme="1"/>
      <name val="Calibri"/>
      <scheme val="minor"/>
    </font>
    <font>
      <b/>
      <sz val="10"/>
      <color rgb="FF2E6B3D"/>
      <name val="Calibri"/>
    </font>
    <font>
      <b/>
      <sz val="10"/>
      <color rgb="FFA65312"/>
      <name val="Calibri"/>
    </font>
    <font>
      <b/>
      <sz val="10"/>
      <color rgb="FF69408A"/>
      <name val="Calibri"/>
    </font>
    <font>
      <b/>
      <sz val="10"/>
      <color rgb="FF8A6200"/>
      <name val="Calibri"/>
    </font>
    <font>
      <b/>
      <sz val="10"/>
      <color rgb="FF38723C"/>
      <name val="Calibri"/>
    </font>
    <font>
      <b/>
      <sz val="10"/>
      <color rgb="FF3B6F45"/>
      <name val="Calibri"/>
    </font>
    <font>
      <b/>
      <sz val="10"/>
      <color rgb="FFA85B22"/>
      <name val="Calibri"/>
    </font>
    <font>
      <b/>
      <sz val="10"/>
      <color rgb="FF72528F"/>
      <name val="Calibri"/>
    </font>
    <font>
      <b/>
      <sz val="10"/>
      <color rgb="FF9C4B4B"/>
      <name val="Calibri"/>
    </font>
    <font>
      <b/>
      <sz val="11"/>
      <color rgb="FF000000"/>
      <name val="Calibri"/>
      <scheme val="minor"/>
    </font>
    <font>
      <b/>
      <sz val="11"/>
      <color rgb="FF000000"/>
      <name val="Calibri"/>
      <scheme val="minor"/>
    </font>
    <font>
      <sz val="10"/>
      <name val="Calibri"/>
      <family val="2"/>
    </font>
    <font>
      <b/>
      <sz val="11"/>
      <color theme="1"/>
      <name val="Calibri"/>
      <family val="2"/>
      <scheme val="minor"/>
    </font>
    <font>
      <sz val="10"/>
      <color theme="1"/>
      <name val="Arial Unicode MS"/>
    </font>
    <font>
      <b/>
      <sz val="10"/>
      <color theme="1"/>
      <name val="Arial Unicode MS"/>
    </font>
    <font>
      <b/>
      <sz val="10"/>
      <color rgb="FF263238"/>
      <name val="Calibri"/>
      <family val="2"/>
    </font>
  </fonts>
  <fills count="27">
    <fill>
      <patternFill patternType="none"/>
    </fill>
    <fill>
      <patternFill patternType="gray125"/>
    </fill>
    <fill>
      <patternFill patternType="solid">
        <fgColor rgb="FF70AD47"/>
        <bgColor rgb="FF70AD47"/>
      </patternFill>
    </fill>
    <fill>
      <patternFill patternType="solid">
        <fgColor rgb="FF2A9D8F"/>
        <bgColor rgb="FF2A9D8F"/>
      </patternFill>
    </fill>
    <fill>
      <patternFill patternType="solid">
        <fgColor rgb="FF17212B"/>
        <bgColor rgb="FF17212B"/>
      </patternFill>
    </fill>
    <fill>
      <patternFill patternType="solid">
        <fgColor rgb="FF243B53"/>
        <bgColor rgb="FF243B53"/>
      </patternFill>
    </fill>
    <fill>
      <patternFill patternType="solid">
        <fgColor rgb="FFF3F3F3"/>
        <bgColor rgb="FFF3F3F3"/>
      </patternFill>
    </fill>
    <fill>
      <patternFill patternType="solid">
        <fgColor rgb="FF7E57C2"/>
        <bgColor rgb="FF7E57C2"/>
      </patternFill>
    </fill>
    <fill>
      <patternFill patternType="solid">
        <fgColor rgb="FFE9EDF1"/>
        <bgColor rgb="FFE9EDF1"/>
      </patternFill>
    </fill>
    <fill>
      <patternFill patternType="solid">
        <fgColor rgb="FFFAFBFC"/>
        <bgColor rgb="FFFAFBFC"/>
      </patternFill>
    </fill>
    <fill>
      <patternFill patternType="solid">
        <fgColor rgb="FFFFFFFF"/>
        <bgColor rgb="FFFFFFFF"/>
      </patternFill>
    </fill>
    <fill>
      <patternFill patternType="solid">
        <fgColor rgb="FFDCEBFA"/>
        <bgColor rgb="FFDCEBFA"/>
      </patternFill>
    </fill>
    <fill>
      <patternFill patternType="solid">
        <fgColor rgb="FFE7F0FA"/>
        <bgColor rgb="FFE7F0FA"/>
      </patternFill>
    </fill>
    <fill>
      <patternFill patternType="solid">
        <fgColor rgb="FFF4CCCC"/>
        <bgColor rgb="FFF4CCCC"/>
      </patternFill>
    </fill>
    <fill>
      <patternFill patternType="solid">
        <fgColor rgb="FFDFF2E1"/>
        <bgColor rgb="FFDFF2E1"/>
      </patternFill>
    </fill>
    <fill>
      <patternFill patternType="solid">
        <fgColor rgb="FFFCE5CD"/>
        <bgColor rgb="FFFCE5CD"/>
      </patternFill>
    </fill>
    <fill>
      <patternFill patternType="solid">
        <fgColor rgb="FFE8DDF5"/>
        <bgColor rgb="FFE8DDF5"/>
      </patternFill>
    </fill>
    <fill>
      <patternFill patternType="solid">
        <fgColor rgb="FFFFF0CC"/>
        <bgColor rgb="FFFFF0CC"/>
      </patternFill>
    </fill>
    <fill>
      <patternFill patternType="solid">
        <fgColor rgb="FFD9EAD3"/>
        <bgColor rgb="FFD9EAD3"/>
      </patternFill>
    </fill>
    <fill>
      <patternFill patternType="solid">
        <fgColor rgb="FFE7F4E8"/>
        <bgColor rgb="FFE7F4E8"/>
      </patternFill>
    </fill>
    <fill>
      <patternFill patternType="solid">
        <fgColor rgb="FFFCEBDD"/>
        <bgColor rgb="FFFCEBDD"/>
      </patternFill>
    </fill>
    <fill>
      <patternFill patternType="solid">
        <fgColor rgb="FFEEE5F7"/>
        <bgColor rgb="FFEEE5F7"/>
      </patternFill>
    </fill>
    <fill>
      <patternFill patternType="solid">
        <fgColor rgb="FFF7E8E8"/>
        <bgColor rgb="FFF7E8E8"/>
      </patternFill>
    </fill>
    <fill>
      <patternFill patternType="solid">
        <fgColor rgb="FFF4A261"/>
        <bgColor rgb="FFF4A261"/>
      </patternFill>
    </fill>
    <fill>
      <patternFill patternType="solid">
        <fgColor rgb="FF6A8EAE"/>
        <bgColor rgb="FF6A8EAE"/>
      </patternFill>
    </fill>
    <fill>
      <patternFill patternType="solid">
        <fgColor theme="2"/>
        <bgColor rgb="FF17212B"/>
      </patternFill>
    </fill>
    <fill>
      <patternFill patternType="solid">
        <fgColor theme="0"/>
        <bgColor rgb="FF17212B"/>
      </patternFill>
    </fill>
  </fills>
  <borders count="49">
    <border>
      <left/>
      <right/>
      <top/>
      <bottom/>
      <diagonal/>
    </border>
    <border>
      <left/>
      <right/>
      <top style="medium">
        <color rgb="FF70AD47"/>
      </top>
      <bottom style="medium">
        <color rgb="FF70AD47"/>
      </bottom>
      <diagonal/>
    </border>
    <border>
      <left/>
      <right/>
      <top style="medium">
        <color rgb="FF2A9D8F"/>
      </top>
      <bottom style="medium">
        <color rgb="FF2A9D8F"/>
      </bottom>
      <diagonal/>
    </border>
    <border>
      <left/>
      <right/>
      <top/>
      <bottom style="hair">
        <color rgb="FFE1E6EB"/>
      </bottom>
      <diagonal/>
    </border>
    <border>
      <left/>
      <right/>
      <top style="medium">
        <color rgb="FF243B53"/>
      </top>
      <bottom style="medium">
        <color rgb="FF243B53"/>
      </bottom>
      <diagonal/>
    </border>
    <border>
      <left/>
      <right/>
      <top style="medium">
        <color rgb="FF7E57C2"/>
      </top>
      <bottom style="medium">
        <color rgb="FF7E57C2"/>
      </bottom>
      <diagonal/>
    </border>
    <border>
      <left style="thin">
        <color rgb="FFE9EDF1"/>
      </left>
      <right style="thin">
        <color rgb="FFE9EDF1"/>
      </right>
      <top style="thin">
        <color rgb="FFE9EDF1"/>
      </top>
      <bottom style="thin">
        <color rgb="FFE9EDF1"/>
      </bottom>
      <diagonal/>
    </border>
    <border>
      <left/>
      <right/>
      <top/>
      <bottom/>
      <diagonal/>
    </border>
    <border>
      <left style="thin">
        <color rgb="FFDCEBFA"/>
      </left>
      <right style="thin">
        <color rgb="FFDCEBFA"/>
      </right>
      <top style="thin">
        <color rgb="FFDCEBFA"/>
      </top>
      <bottom style="thin">
        <color rgb="FFDCEBFA"/>
      </bottom>
      <diagonal/>
    </border>
    <border>
      <left style="thin">
        <color rgb="FFE7F0FA"/>
      </left>
      <right style="thin">
        <color rgb="FFE7F0FA"/>
      </right>
      <top style="thin">
        <color rgb="FFE7F0FA"/>
      </top>
      <bottom style="thin">
        <color rgb="FFE7F0FA"/>
      </bottom>
      <diagonal/>
    </border>
    <border>
      <left style="thin">
        <color rgb="FFF4CCCC"/>
      </left>
      <right style="thin">
        <color rgb="FFF4CCCC"/>
      </right>
      <top style="thin">
        <color rgb="FFF4CCCC"/>
      </top>
      <bottom style="thin">
        <color rgb="FFF4CCCC"/>
      </bottom>
      <diagonal/>
    </border>
    <border>
      <left/>
      <right/>
      <top style="thin">
        <color rgb="FFDCEBFA"/>
      </top>
      <bottom style="thin">
        <color rgb="FFDCEBFA"/>
      </bottom>
      <diagonal/>
    </border>
    <border>
      <left/>
      <right style="thin">
        <color rgb="FFDCEBFA"/>
      </right>
      <top style="thin">
        <color rgb="FFDCEBFA"/>
      </top>
      <bottom style="thin">
        <color rgb="FFDCEBFA"/>
      </bottom>
      <diagonal/>
    </border>
    <border>
      <left/>
      <right/>
      <top style="thin">
        <color rgb="FFDFF2E1"/>
      </top>
      <bottom style="thin">
        <color rgb="FFDFF2E1"/>
      </bottom>
      <diagonal/>
    </border>
    <border>
      <left/>
      <right style="thin">
        <color rgb="FFDFF2E1"/>
      </right>
      <top style="thin">
        <color rgb="FFDFF2E1"/>
      </top>
      <bottom style="thin">
        <color rgb="FFDFF2E1"/>
      </bottom>
      <diagonal/>
    </border>
    <border>
      <left/>
      <right/>
      <top style="thin">
        <color rgb="FFFCE5CD"/>
      </top>
      <bottom style="thin">
        <color rgb="FFFCE5CD"/>
      </bottom>
      <diagonal/>
    </border>
    <border>
      <left/>
      <right style="thin">
        <color rgb="FFFCE5CD"/>
      </right>
      <top style="thin">
        <color rgb="FFFCE5CD"/>
      </top>
      <bottom style="thin">
        <color rgb="FFFCE5CD"/>
      </bottom>
      <diagonal/>
    </border>
    <border>
      <left/>
      <right/>
      <top style="thin">
        <color rgb="FFE8DDF5"/>
      </top>
      <bottom style="thin">
        <color rgb="FFE8DDF5"/>
      </bottom>
      <diagonal/>
    </border>
    <border>
      <left/>
      <right style="thin">
        <color rgb="FFE8DDF5"/>
      </right>
      <top style="thin">
        <color rgb="FFE8DDF5"/>
      </top>
      <bottom style="thin">
        <color rgb="FFE8DDF5"/>
      </bottom>
      <diagonal/>
    </border>
    <border>
      <left/>
      <right/>
      <top style="thin">
        <color rgb="FFF4CCCC"/>
      </top>
      <bottom style="thin">
        <color rgb="FFF4CCCC"/>
      </bottom>
      <diagonal/>
    </border>
    <border>
      <left/>
      <right style="thin">
        <color rgb="FFF4CCCC"/>
      </right>
      <top style="thin">
        <color rgb="FFF4CCCC"/>
      </top>
      <bottom style="thin">
        <color rgb="FFF4CCCC"/>
      </bottom>
      <diagonal/>
    </border>
    <border>
      <left/>
      <right/>
      <top style="thin">
        <color rgb="FFE9EDF1"/>
      </top>
      <bottom style="thin">
        <color rgb="FFE9EDF1"/>
      </bottom>
      <diagonal/>
    </border>
    <border>
      <left/>
      <right style="thin">
        <color rgb="FFE9EDF1"/>
      </right>
      <top style="thin">
        <color rgb="FFE9EDF1"/>
      </top>
      <bottom style="thin">
        <color rgb="FFE9EDF1"/>
      </bottom>
      <diagonal/>
    </border>
    <border>
      <left/>
      <right/>
      <top style="thin">
        <color rgb="FFFFF0CC"/>
      </top>
      <bottom style="thin">
        <color rgb="FFFFF0CC"/>
      </bottom>
      <diagonal/>
    </border>
    <border>
      <left/>
      <right style="thin">
        <color rgb="FFFFF0CC"/>
      </right>
      <top style="thin">
        <color rgb="FFFFF0CC"/>
      </top>
      <bottom style="thin">
        <color rgb="FFFFF0CC"/>
      </bottom>
      <diagonal/>
    </border>
    <border>
      <left/>
      <right/>
      <top style="thin">
        <color rgb="FFD9EAD3"/>
      </top>
      <bottom style="thin">
        <color rgb="FFD9EAD3"/>
      </bottom>
      <diagonal/>
    </border>
    <border>
      <left/>
      <right style="thin">
        <color rgb="FFD9EAD3"/>
      </right>
      <top style="thin">
        <color rgb="FFD9EAD3"/>
      </top>
      <bottom style="thin">
        <color rgb="FFD9EAD3"/>
      </bottom>
      <diagonal/>
    </border>
    <border>
      <left style="thin">
        <color rgb="FFDFF2E1"/>
      </left>
      <right style="thin">
        <color rgb="FFDFF2E1"/>
      </right>
      <top style="thin">
        <color rgb="FFDFF2E1"/>
      </top>
      <bottom style="thin">
        <color rgb="FFDFF2E1"/>
      </bottom>
      <diagonal/>
    </border>
    <border>
      <left style="thin">
        <color rgb="FFE7F4E8"/>
      </left>
      <right style="thin">
        <color rgb="FFE7F4E8"/>
      </right>
      <top style="thin">
        <color rgb="FFE7F4E8"/>
      </top>
      <bottom style="thin">
        <color rgb="FFE7F4E8"/>
      </bottom>
      <diagonal/>
    </border>
    <border>
      <left style="thin">
        <color rgb="FFFCE5CD"/>
      </left>
      <right style="thin">
        <color rgb="FFFCE5CD"/>
      </right>
      <top style="thin">
        <color rgb="FFFCE5CD"/>
      </top>
      <bottom style="thin">
        <color rgb="FFFCE5CD"/>
      </bottom>
      <diagonal/>
    </border>
    <border>
      <left style="thin">
        <color rgb="FFFCEBDD"/>
      </left>
      <right style="thin">
        <color rgb="FFFCEBDD"/>
      </right>
      <top style="thin">
        <color rgb="FFFCEBDD"/>
      </top>
      <bottom style="thin">
        <color rgb="FFFCEBDD"/>
      </bottom>
      <diagonal/>
    </border>
    <border>
      <left style="thin">
        <color rgb="FFFFF0CC"/>
      </left>
      <right style="thin">
        <color rgb="FFFFF0CC"/>
      </right>
      <top style="thin">
        <color rgb="FFFFF0CC"/>
      </top>
      <bottom style="thin">
        <color rgb="FFFFF0CC"/>
      </bottom>
      <diagonal/>
    </border>
    <border>
      <left style="thin">
        <color rgb="FFE8DDF5"/>
      </left>
      <right style="thin">
        <color rgb="FFE8DDF5"/>
      </right>
      <top style="thin">
        <color rgb="FFE8DDF5"/>
      </top>
      <bottom style="thin">
        <color rgb="FFE8DDF5"/>
      </bottom>
      <diagonal/>
    </border>
    <border>
      <left style="thin">
        <color rgb="FFEEE5F7"/>
      </left>
      <right style="thin">
        <color rgb="FFEEE5F7"/>
      </right>
      <top style="thin">
        <color rgb="FFEEE5F7"/>
      </top>
      <bottom style="thin">
        <color rgb="FFEEE5F7"/>
      </bottom>
      <diagonal/>
    </border>
    <border>
      <left style="thin">
        <color rgb="FFF7E8E8"/>
      </left>
      <right style="thin">
        <color rgb="FFF7E8E8"/>
      </right>
      <top style="thin">
        <color rgb="FFF7E8E8"/>
      </top>
      <bottom style="thin">
        <color rgb="FFF7E8E8"/>
      </bottom>
      <diagonal/>
    </border>
    <border>
      <left/>
      <right/>
      <top style="medium">
        <color rgb="FFF4A261"/>
      </top>
      <bottom style="medium">
        <color rgb="FFF4A261"/>
      </bottom>
      <diagonal/>
    </border>
    <border>
      <left style="thin">
        <color rgb="FFD9EAD3"/>
      </left>
      <right style="thin">
        <color rgb="FFD9EAD3"/>
      </right>
      <top style="thin">
        <color rgb="FFD9EAD3"/>
      </top>
      <bottom style="thin">
        <color rgb="FFD9EAD3"/>
      </bottom>
      <diagonal/>
    </border>
    <border>
      <left style="dotted">
        <color rgb="FF6A8EAE"/>
      </left>
      <right/>
      <top style="dotted">
        <color rgb="FF6A8EAE"/>
      </top>
      <bottom style="medium">
        <color rgb="FF6A8EAE"/>
      </bottom>
      <diagonal/>
    </border>
    <border>
      <left/>
      <right/>
      <top style="dotted">
        <color rgb="FF6A8EAE"/>
      </top>
      <bottom style="medium">
        <color rgb="FF6A8EAE"/>
      </bottom>
      <diagonal/>
    </border>
    <border>
      <left/>
      <right style="dotted">
        <color rgb="FF6A8EAE"/>
      </right>
      <top style="dotted">
        <color rgb="FF6A8EAE"/>
      </top>
      <bottom style="medium">
        <color rgb="FF6A8EAE"/>
      </bottom>
      <diagonal/>
    </border>
    <border>
      <left style="dotted">
        <color rgb="FF6A8EAE"/>
      </left>
      <right style="hair">
        <color rgb="FF6A8EAE"/>
      </right>
      <top style="medium">
        <color rgb="FF6A8EAE"/>
      </top>
      <bottom style="hair">
        <color rgb="FF6A8EAE"/>
      </bottom>
      <diagonal/>
    </border>
    <border>
      <left style="hair">
        <color rgb="FF6A8EAE"/>
      </left>
      <right style="hair">
        <color rgb="FF6A8EAE"/>
      </right>
      <top style="medium">
        <color rgb="FF6A8EAE"/>
      </top>
      <bottom style="hair">
        <color rgb="FF6A8EAE"/>
      </bottom>
      <diagonal/>
    </border>
    <border>
      <left style="hair">
        <color rgb="FF6A8EAE"/>
      </left>
      <right style="dotted">
        <color rgb="FF6A8EAE"/>
      </right>
      <top style="medium">
        <color rgb="FF6A8EAE"/>
      </top>
      <bottom style="hair">
        <color rgb="FF6A8EAE"/>
      </bottom>
      <diagonal/>
    </border>
    <border>
      <left style="dotted">
        <color rgb="FF6A8EAE"/>
      </left>
      <right style="hair">
        <color rgb="FF6A8EAE"/>
      </right>
      <top style="hair">
        <color rgb="FF6A8EAE"/>
      </top>
      <bottom style="hair">
        <color rgb="FF6A8EAE"/>
      </bottom>
      <diagonal/>
    </border>
    <border>
      <left style="hair">
        <color rgb="FF6A8EAE"/>
      </left>
      <right style="hair">
        <color rgb="FF6A8EAE"/>
      </right>
      <top style="hair">
        <color rgb="FF6A8EAE"/>
      </top>
      <bottom style="hair">
        <color rgb="FF6A8EAE"/>
      </bottom>
      <diagonal/>
    </border>
    <border>
      <left style="hair">
        <color rgb="FF6A8EAE"/>
      </left>
      <right style="dotted">
        <color rgb="FF6A8EAE"/>
      </right>
      <top style="hair">
        <color rgb="FF6A8EAE"/>
      </top>
      <bottom style="hair">
        <color rgb="FF6A8EAE"/>
      </bottom>
      <diagonal/>
    </border>
    <border>
      <left style="dotted">
        <color rgb="FF6A8EAE"/>
      </left>
      <right style="hair">
        <color rgb="FF6A8EAE"/>
      </right>
      <top style="hair">
        <color rgb="FF6A8EAE"/>
      </top>
      <bottom style="dotted">
        <color rgb="FF6A8EAE"/>
      </bottom>
      <diagonal/>
    </border>
    <border>
      <left style="hair">
        <color rgb="FF6A8EAE"/>
      </left>
      <right style="hair">
        <color rgb="FF6A8EAE"/>
      </right>
      <top style="hair">
        <color rgb="FF6A8EAE"/>
      </top>
      <bottom style="dotted">
        <color rgb="FF6A8EAE"/>
      </bottom>
      <diagonal/>
    </border>
    <border>
      <left style="hair">
        <color rgb="FF6A8EAE"/>
      </left>
      <right style="dotted">
        <color rgb="FF6A8EAE"/>
      </right>
      <top style="hair">
        <color rgb="FF6A8EAE"/>
      </top>
      <bottom style="dotted">
        <color rgb="FF6A8EAE"/>
      </bottom>
      <diagonal/>
    </border>
  </borders>
  <cellStyleXfs count="1">
    <xf numFmtId="0" fontId="0" fillId="0" borderId="7"/>
  </cellStyleXfs>
  <cellXfs count="80">
    <xf numFmtId="0" fontId="0" fillId="0" borderId="0" xfId="0" applyBorder="1"/>
    <xf numFmtId="0" fontId="2"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4" borderId="3" xfId="0" applyFont="1" applyFill="1" applyBorder="1" applyAlignment="1">
      <alignment vertical="top" wrapText="1"/>
    </xf>
    <xf numFmtId="0" fontId="2" fillId="5" borderId="4" xfId="0" applyFont="1" applyFill="1" applyBorder="1" applyAlignment="1">
      <alignment horizontal="center" vertical="center" wrapText="1"/>
    </xf>
    <xf numFmtId="0" fontId="4" fillId="6" borderId="3" xfId="0" applyFont="1" applyFill="1" applyBorder="1" applyAlignment="1">
      <alignment vertical="top" wrapText="1"/>
    </xf>
    <xf numFmtId="0" fontId="2" fillId="7"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6" fillId="6" borderId="3" xfId="0" applyFont="1" applyFill="1" applyBorder="1" applyAlignment="1">
      <alignment vertical="top" wrapText="1"/>
    </xf>
    <xf numFmtId="0" fontId="8" fillId="9" borderId="3" xfId="0" applyFont="1" applyFill="1" applyBorder="1" applyAlignment="1">
      <alignment vertical="top" wrapText="1"/>
    </xf>
    <xf numFmtId="0" fontId="4" fillId="10" borderId="3" xfId="0" applyFont="1" applyFill="1" applyBorder="1" applyAlignment="1">
      <alignment vertical="top" wrapText="1"/>
    </xf>
    <xf numFmtId="0" fontId="9" fillId="11" borderId="8" xfId="0" applyFont="1" applyFill="1" applyBorder="1" applyAlignment="1">
      <alignment horizontal="center" vertical="center" wrapText="1"/>
    </xf>
    <xf numFmtId="0" fontId="10" fillId="12" borderId="9" xfId="0" applyFont="1" applyFill="1" applyBorder="1" applyAlignment="1">
      <alignment horizontal="center" vertical="center" wrapText="1"/>
    </xf>
    <xf numFmtId="0" fontId="11" fillId="9" borderId="3" xfId="0" applyFont="1" applyFill="1" applyBorder="1" applyAlignment="1">
      <alignment vertical="top" wrapText="1"/>
    </xf>
    <xf numFmtId="0" fontId="12" fillId="9" borderId="3" xfId="0" applyFont="1" applyFill="1" applyBorder="1" applyAlignment="1">
      <alignment vertical="top" wrapText="1"/>
    </xf>
    <xf numFmtId="0" fontId="13" fillId="13" borderId="10" xfId="0" applyFont="1" applyFill="1" applyBorder="1" applyAlignment="1">
      <alignment horizontal="center" vertical="center" wrapText="1"/>
    </xf>
    <xf numFmtId="0" fontId="14" fillId="0" borderId="0" xfId="0" applyFont="1" applyBorder="1"/>
    <xf numFmtId="0" fontId="8" fillId="10" borderId="3" xfId="0" applyFont="1" applyFill="1" applyBorder="1" applyAlignment="1">
      <alignment vertical="top" wrapText="1"/>
    </xf>
    <xf numFmtId="0" fontId="11" fillId="10" borderId="3" xfId="0" applyFont="1" applyFill="1" applyBorder="1" applyAlignment="1">
      <alignment vertical="top" wrapText="1"/>
    </xf>
    <xf numFmtId="0" fontId="12" fillId="10" borderId="3" xfId="0" applyFont="1" applyFill="1" applyBorder="1" applyAlignment="1">
      <alignment vertical="top" wrapText="1"/>
    </xf>
    <xf numFmtId="0" fontId="15" fillId="14" borderId="27" xfId="0" applyFont="1" applyFill="1" applyBorder="1" applyAlignment="1">
      <alignment horizontal="center" vertical="center" wrapText="1"/>
    </xf>
    <xf numFmtId="0" fontId="20" fillId="19" borderId="28" xfId="0" applyFont="1" applyFill="1" applyBorder="1" applyAlignment="1">
      <alignment horizontal="center" vertical="center" wrapText="1"/>
    </xf>
    <xf numFmtId="0" fontId="16" fillId="15" borderId="29" xfId="0" applyFont="1" applyFill="1" applyBorder="1" applyAlignment="1">
      <alignment horizontal="center" vertical="center" wrapText="1"/>
    </xf>
    <xf numFmtId="0" fontId="21" fillId="20" borderId="30" xfId="0" applyFont="1" applyFill="1" applyBorder="1" applyAlignment="1">
      <alignment horizontal="center" vertical="center" wrapText="1"/>
    </xf>
    <xf numFmtId="0" fontId="18" fillId="17" borderId="31" xfId="0" applyFont="1" applyFill="1" applyBorder="1" applyAlignment="1">
      <alignment horizontal="center" vertical="center" wrapText="1"/>
    </xf>
    <xf numFmtId="0" fontId="17" fillId="16" borderId="32" xfId="0" applyFont="1" applyFill="1" applyBorder="1" applyAlignment="1">
      <alignment horizontal="center" vertical="center" wrapText="1"/>
    </xf>
    <xf numFmtId="0" fontId="22" fillId="21" borderId="33" xfId="0" applyFont="1" applyFill="1" applyBorder="1" applyAlignment="1">
      <alignment horizontal="center" vertical="center" wrapText="1"/>
    </xf>
    <xf numFmtId="0" fontId="23" fillId="22" borderId="34" xfId="0" applyFont="1" applyFill="1" applyBorder="1" applyAlignment="1">
      <alignment horizontal="center" vertical="center" wrapText="1"/>
    </xf>
    <xf numFmtId="0" fontId="2" fillId="23" borderId="35" xfId="0" applyFont="1" applyFill="1" applyBorder="1" applyAlignment="1">
      <alignment horizontal="center" vertical="center" wrapText="1"/>
    </xf>
    <xf numFmtId="0" fontId="24" fillId="10" borderId="3" xfId="0" applyFont="1" applyFill="1" applyBorder="1" applyAlignment="1">
      <alignment vertical="top" wrapText="1"/>
    </xf>
    <xf numFmtId="0" fontId="25" fillId="10" borderId="3" xfId="0" applyFont="1" applyFill="1" applyBorder="1" applyAlignment="1">
      <alignment vertical="top" wrapText="1"/>
    </xf>
    <xf numFmtId="9" fontId="25" fillId="10" borderId="3" xfId="0" applyNumberFormat="1" applyFont="1" applyFill="1" applyBorder="1" applyAlignment="1">
      <alignment vertical="top" wrapText="1"/>
    </xf>
    <xf numFmtId="0" fontId="26" fillId="25" borderId="3" xfId="0" applyFont="1" applyFill="1" applyBorder="1" applyAlignment="1">
      <alignment vertical="top" wrapText="1"/>
    </xf>
    <xf numFmtId="0" fontId="26" fillId="26" borderId="3" xfId="0" applyFont="1" applyFill="1" applyBorder="1" applyAlignment="1">
      <alignment vertical="top" wrapText="1"/>
    </xf>
    <xf numFmtId="0" fontId="9" fillId="11" borderId="8" xfId="0" applyFont="1" applyFill="1" applyBorder="1" applyAlignment="1">
      <alignment horizontal="center" vertical="center" wrapText="1"/>
    </xf>
    <xf numFmtId="0" fontId="0" fillId="0" borderId="11" xfId="0" applyBorder="1"/>
    <xf numFmtId="0" fontId="0" fillId="0" borderId="12" xfId="0" applyBorder="1"/>
    <xf numFmtId="0" fontId="7" fillId="5" borderId="7" xfId="0" applyFont="1" applyFill="1"/>
    <xf numFmtId="0" fontId="0" fillId="0" borderId="0" xfId="0" applyBorder="1"/>
    <xf numFmtId="0" fontId="17" fillId="16" borderId="32" xfId="0" applyFont="1" applyFill="1" applyBorder="1" applyAlignment="1">
      <alignment horizontal="center" vertical="center" wrapText="1"/>
    </xf>
    <xf numFmtId="0" fontId="0" fillId="0" borderId="17" xfId="0" applyBorder="1"/>
    <xf numFmtId="0" fontId="0" fillId="0" borderId="18" xfId="0" applyBorder="1"/>
    <xf numFmtId="0" fontId="13" fillId="13" borderId="10" xfId="0" applyFont="1" applyFill="1" applyBorder="1" applyAlignment="1">
      <alignment horizontal="center" vertical="center" wrapText="1"/>
    </xf>
    <xf numFmtId="0" fontId="0" fillId="0" borderId="19" xfId="0" applyBorder="1"/>
    <xf numFmtId="0" fontId="0" fillId="0" borderId="20" xfId="0" applyBorder="1"/>
    <xf numFmtId="0" fontId="18" fillId="17" borderId="31" xfId="0" applyFont="1" applyFill="1" applyBorder="1" applyAlignment="1">
      <alignment horizontal="center" vertical="center" wrapText="1"/>
    </xf>
    <xf numFmtId="0" fontId="0" fillId="0" borderId="23" xfId="0" applyBorder="1"/>
    <xf numFmtId="0" fontId="0" fillId="0" borderId="24" xfId="0" applyBorder="1"/>
    <xf numFmtId="0" fontId="16" fillId="15" borderId="29" xfId="0" applyFont="1" applyFill="1" applyBorder="1" applyAlignment="1">
      <alignment horizontal="center" vertical="center" wrapText="1"/>
    </xf>
    <xf numFmtId="0" fontId="0" fillId="0" borderId="15" xfId="0" applyBorder="1"/>
    <xf numFmtId="0" fontId="0" fillId="0" borderId="16" xfId="0" applyBorder="1"/>
    <xf numFmtId="0" fontId="15" fillId="14" borderId="27" xfId="0" applyFont="1" applyFill="1" applyBorder="1" applyAlignment="1">
      <alignment horizontal="center" vertical="center" wrapText="1"/>
    </xf>
    <xf numFmtId="0" fontId="0" fillId="0" borderId="13" xfId="0" applyBorder="1"/>
    <xf numFmtId="0" fontId="0" fillId="0" borderId="14" xfId="0" applyBorder="1"/>
    <xf numFmtId="0" fontId="5" fillId="8" borderId="6" xfId="0" applyFont="1" applyFill="1" applyBorder="1" applyAlignment="1">
      <alignment horizontal="center" vertical="center" wrapText="1"/>
    </xf>
    <xf numFmtId="0" fontId="0" fillId="0" borderId="21" xfId="0" applyBorder="1"/>
    <xf numFmtId="0" fontId="0" fillId="0" borderId="22" xfId="0" applyBorder="1"/>
    <xf numFmtId="0" fontId="19" fillId="18" borderId="36" xfId="0" applyFont="1" applyFill="1" applyBorder="1" applyAlignment="1">
      <alignment horizontal="center" vertical="center" wrapText="1"/>
    </xf>
    <xf numFmtId="0" fontId="0" fillId="0" borderId="25" xfId="0" applyBorder="1"/>
    <xf numFmtId="0" fontId="0" fillId="0" borderId="26" xfId="0" applyBorder="1"/>
    <xf numFmtId="0" fontId="4" fillId="10" borderId="3" xfId="0" applyFont="1" applyFill="1" applyBorder="1" applyAlignment="1">
      <alignment vertical="top" wrapText="1"/>
    </xf>
    <xf numFmtId="0" fontId="0" fillId="0" borderId="3" xfId="0" applyBorder="1"/>
    <xf numFmtId="0" fontId="2" fillId="24" borderId="37" xfId="0" applyFont="1" applyFill="1" applyBorder="1" applyAlignment="1">
      <alignment horizontal="center" vertical="center" wrapText="1"/>
    </xf>
    <xf numFmtId="0" fontId="2" fillId="24" borderId="38" xfId="0" applyFont="1" applyFill="1" applyBorder="1" applyAlignment="1">
      <alignment horizontal="center" vertical="center" wrapText="1"/>
    </xf>
    <xf numFmtId="0" fontId="2" fillId="24" borderId="39" xfId="0" applyFont="1" applyFill="1" applyBorder="1" applyAlignment="1">
      <alignment horizontal="center" vertical="center" wrapText="1"/>
    </xf>
    <xf numFmtId="0" fontId="27" fillId="0" borderId="40" xfId="0" applyFont="1" applyBorder="1" applyAlignment="1">
      <alignment vertical="center" wrapText="1"/>
    </xf>
    <xf numFmtId="14" fontId="1" fillId="0" borderId="41" xfId="0" applyNumberFormat="1" applyFont="1" applyBorder="1" applyAlignment="1">
      <alignment vertical="center" wrapText="1"/>
    </xf>
    <xf numFmtId="0" fontId="1" fillId="0" borderId="41" xfId="0" applyFont="1" applyBorder="1" applyAlignment="1">
      <alignment vertical="center" wrapText="1"/>
    </xf>
    <xf numFmtId="0" fontId="1" fillId="0" borderId="42" xfId="0" applyFont="1" applyBorder="1" applyAlignment="1">
      <alignment vertical="center" wrapText="1"/>
    </xf>
    <xf numFmtId="0" fontId="27" fillId="0" borderId="43" xfId="0" applyFont="1" applyBorder="1" applyAlignment="1">
      <alignment vertical="center" wrapText="1"/>
    </xf>
    <xf numFmtId="14" fontId="1" fillId="0" borderId="44" xfId="0" applyNumberFormat="1" applyFont="1" applyBorder="1" applyAlignment="1">
      <alignment vertical="center" wrapText="1"/>
    </xf>
    <xf numFmtId="0" fontId="1" fillId="0" borderId="44" xfId="0" applyFont="1" applyBorder="1" applyAlignment="1">
      <alignment vertical="center" wrapText="1"/>
    </xf>
    <xf numFmtId="0" fontId="1" fillId="0" borderId="45" xfId="0" applyFont="1" applyBorder="1" applyAlignment="1">
      <alignment vertical="center" wrapText="1"/>
    </xf>
    <xf numFmtId="14" fontId="27" fillId="0" borderId="44" xfId="0" applyNumberFormat="1" applyFont="1" applyBorder="1" applyAlignment="1">
      <alignment vertical="center" wrapText="1"/>
    </xf>
    <xf numFmtId="0" fontId="27" fillId="0" borderId="44" xfId="0" applyFont="1" applyBorder="1" applyAlignment="1">
      <alignment vertical="center" wrapText="1"/>
    </xf>
    <xf numFmtId="0" fontId="0" fillId="0" borderId="45" xfId="0" applyBorder="1" applyAlignment="1">
      <alignment vertical="center" wrapText="1"/>
    </xf>
    <xf numFmtId="0" fontId="27" fillId="0" borderId="46" xfId="0" applyFont="1" applyBorder="1" applyAlignment="1">
      <alignment vertical="center" wrapText="1"/>
    </xf>
    <xf numFmtId="0" fontId="1" fillId="0" borderId="47" xfId="0" applyFont="1" applyBorder="1" applyAlignment="1">
      <alignment vertical="center" wrapText="1"/>
    </xf>
    <xf numFmtId="0" fontId="0" fillId="0" borderId="48" xfId="0" applyBorder="1" applyAlignment="1">
      <alignment vertical="center" wrapText="1"/>
    </xf>
    <xf numFmtId="0" fontId="30" fillId="10" borderId="3" xfId="0" applyFont="1" applyFill="1" applyBorder="1" applyAlignment="1">
      <alignment vertical="top" wrapText="1"/>
    </xf>
  </cellXfs>
  <cellStyles count="1">
    <cellStyle name="Normal" xfId="0" builtinId="0"/>
  </cellStyles>
  <dxfs count="46">
    <dxf>
      <fill>
        <patternFill patternType="solid">
          <fgColor rgb="FFE2F0D9"/>
          <bgColor rgb="FFE2F0D9"/>
        </patternFill>
      </fill>
    </dxf>
    <dxf>
      <fill>
        <patternFill patternType="solid">
          <fgColor rgb="FFFCE4E4"/>
          <bgColor rgb="FFFCE4E4"/>
        </patternFill>
      </fill>
    </dxf>
    <dxf>
      <fill>
        <patternFill patternType="solid">
          <fgColor rgb="FFFFF7D6"/>
          <bgColor rgb="FFFFF7D6"/>
        </patternFill>
      </fill>
    </dxf>
    <dxf>
      <fill>
        <patternFill patternType="solid">
          <fgColor rgb="FFE2F0D9"/>
          <bgColor rgb="FFE2F0D9"/>
        </patternFill>
      </fill>
    </dxf>
    <dxf>
      <fill>
        <patternFill patternType="solid">
          <fgColor rgb="FFE2F0D9"/>
          <bgColor rgb="FFE2F0D9"/>
        </patternFill>
      </fill>
    </dxf>
    <dxf>
      <fill>
        <patternFill patternType="solid">
          <fgColor rgb="FFFCE4E4"/>
          <bgColor rgb="FFFCE4E4"/>
        </patternFill>
      </fill>
    </dxf>
    <dxf>
      <fill>
        <patternFill patternType="solid">
          <fgColor rgb="FFFFF7D6"/>
          <bgColor rgb="FFFFF7D6"/>
        </patternFill>
      </fill>
    </dxf>
    <dxf>
      <fill>
        <patternFill patternType="solid">
          <fgColor rgb="FFE2F0D9"/>
          <bgColor rgb="FFE2F0D9"/>
        </patternFill>
      </fill>
    </dxf>
    <dxf>
      <fill>
        <patternFill patternType="solid">
          <fgColor rgb="FFE2F0D9"/>
          <bgColor rgb="FFE2F0D9"/>
        </patternFill>
      </fill>
    </dxf>
    <dxf>
      <fill>
        <patternFill patternType="solid">
          <fgColor rgb="FFFCE4E4"/>
          <bgColor rgb="FFFCE4E4"/>
        </patternFill>
      </fill>
    </dxf>
    <dxf>
      <fill>
        <patternFill patternType="solid">
          <fgColor rgb="FFFFF7D6"/>
          <bgColor rgb="FFFFF7D6"/>
        </patternFill>
      </fill>
    </dxf>
    <dxf>
      <fill>
        <patternFill patternType="solid">
          <fgColor rgb="FFE2F0D9"/>
          <bgColor rgb="FFE2F0D9"/>
        </patternFill>
      </fill>
    </dxf>
    <dxf>
      <fill>
        <patternFill patternType="solid">
          <fgColor rgb="FFE2F0D9"/>
          <bgColor rgb="FFE2F0D9"/>
        </patternFill>
      </fill>
    </dxf>
    <dxf>
      <fill>
        <patternFill patternType="solid">
          <fgColor rgb="FFFCE4E4"/>
          <bgColor rgb="FFFCE4E4"/>
        </patternFill>
      </fill>
    </dxf>
    <dxf>
      <fill>
        <patternFill patternType="solid">
          <fgColor rgb="FFFFF7D6"/>
          <bgColor rgb="FFFFF7D6"/>
        </patternFill>
      </fill>
    </dxf>
    <dxf>
      <fill>
        <patternFill patternType="solid">
          <fgColor rgb="FFE2F0D9"/>
          <bgColor rgb="FFE2F0D9"/>
        </patternFill>
      </fill>
    </dxf>
    <dxf>
      <fill>
        <patternFill patternType="solid">
          <fgColor rgb="FFF4CCCC"/>
          <bgColor rgb="FFF4CCCC"/>
        </patternFill>
      </fill>
    </dxf>
    <dxf>
      <fill>
        <patternFill patternType="solid">
          <fgColor rgb="FFFFF2CC"/>
          <bgColor rgb="FFFFF2CC"/>
        </patternFill>
      </fill>
    </dxf>
    <dxf>
      <fill>
        <patternFill patternType="solid">
          <fgColor rgb="FFC6E0B4"/>
          <bgColor rgb="FFC6E0B4"/>
        </patternFill>
      </fill>
    </dxf>
    <dxf>
      <font>
        <b/>
        <color rgb="FFFFFFFF"/>
      </font>
      <fill>
        <patternFill patternType="solid">
          <fgColor rgb="FF16A34A"/>
          <bgColor rgb="FF16A34A"/>
        </patternFill>
      </fill>
    </dxf>
    <dxf>
      <font>
        <b/>
        <color rgb="FFFFFFFF"/>
      </font>
      <fill>
        <patternFill patternType="solid">
          <fgColor rgb="FFDC2626"/>
          <bgColor rgb="FFDC2626"/>
        </patternFill>
      </fill>
    </dxf>
    <dxf>
      <font>
        <b/>
        <color rgb="FFFFFFFF"/>
      </font>
      <fill>
        <patternFill patternType="solid">
          <fgColor rgb="FFF59E0B"/>
          <bgColor rgb="FFF59E0B"/>
        </patternFill>
      </fill>
    </dxf>
    <dxf>
      <font>
        <b/>
        <color rgb="FFFFFFFF"/>
      </font>
      <fill>
        <patternFill patternType="solid">
          <fgColor rgb="FFF59E0B"/>
          <bgColor rgb="FFF59E0B"/>
        </patternFill>
      </fill>
    </dxf>
    <dxf>
      <font>
        <b/>
        <color rgb="FFFFFFFF"/>
      </font>
      <fill>
        <patternFill patternType="solid">
          <fgColor rgb="FF6B7280"/>
          <bgColor rgb="FF6B7280"/>
        </patternFill>
      </fill>
    </dxf>
    <dxf>
      <font>
        <b/>
        <color rgb="FFFFFFFF"/>
      </font>
      <fill>
        <patternFill patternType="solid">
          <fgColor rgb="FF6B7280"/>
          <bgColor rgb="FF6B7280"/>
        </patternFill>
      </fill>
    </dxf>
    <dxf>
      <font>
        <b/>
        <color rgb="FFFFFFFF"/>
      </font>
      <fill>
        <patternFill patternType="solid">
          <fgColor rgb="FFDC2626"/>
          <bgColor rgb="FFDC2626"/>
        </patternFill>
      </fill>
    </dxf>
    <dxf>
      <font>
        <b/>
        <color rgb="FFFFFFFF"/>
      </font>
      <fill>
        <patternFill patternType="solid">
          <fgColor rgb="FFF59E0B"/>
          <bgColor rgb="FFF59E0B"/>
        </patternFill>
      </fill>
    </dxf>
    <dxf>
      <font>
        <b/>
        <color rgb="FFFFFFFF"/>
      </font>
      <fill>
        <patternFill patternType="solid">
          <fgColor rgb="FF16A34A"/>
          <bgColor rgb="FF16A34A"/>
        </patternFill>
      </fill>
    </dxf>
    <dxf>
      <font>
        <b/>
        <color rgb="FFFFFFFF"/>
      </font>
      <fill>
        <patternFill patternType="solid">
          <fgColor rgb="FFC0392B"/>
          <bgColor rgb="FFC0392B"/>
        </patternFill>
      </fill>
    </dxf>
    <dxf>
      <font>
        <b/>
        <color rgb="FFFFFFFF"/>
      </font>
      <fill>
        <patternFill patternType="solid">
          <fgColor rgb="FF7B61A8"/>
          <bgColor rgb="FF7B61A8"/>
        </patternFill>
      </fill>
    </dxf>
    <dxf>
      <font>
        <b/>
        <color rgb="FFFFFFFF"/>
      </font>
      <fill>
        <patternFill patternType="solid">
          <fgColor rgb="FF00897B"/>
          <bgColor rgb="FF00897B"/>
        </patternFill>
      </fill>
    </dxf>
    <dxf>
      <font>
        <b/>
        <color rgb="FFFFFFFF"/>
      </font>
      <fill>
        <patternFill patternType="solid">
          <fgColor rgb="FFD64B4B"/>
          <bgColor rgb="FFD64B4B"/>
        </patternFill>
      </fill>
    </dxf>
    <dxf>
      <font>
        <b/>
        <color rgb="FFFFFFFF"/>
      </font>
      <fill>
        <patternFill patternType="solid">
          <fgColor rgb="FF6C63FF"/>
          <bgColor rgb="FF6C63FF"/>
        </patternFill>
      </fill>
    </dxf>
    <dxf>
      <font>
        <b/>
        <color rgb="FFFFFFFF"/>
      </font>
      <fill>
        <patternFill patternType="solid">
          <fgColor rgb="FFD88A00"/>
          <bgColor rgb="FFD88A00"/>
        </patternFill>
      </fill>
    </dxf>
    <dxf>
      <font>
        <b/>
        <color rgb="FFFFFFFF"/>
      </font>
      <fill>
        <patternFill patternType="solid">
          <fgColor rgb="FF00A6A6"/>
          <bgColor rgb="FF00A6A6"/>
        </patternFill>
      </fill>
    </dxf>
    <dxf>
      <font>
        <b/>
        <color rgb="FFFFFFFF"/>
      </font>
      <fill>
        <patternFill patternType="solid">
          <fgColor rgb="FF9B51E0"/>
          <bgColor rgb="FF9B51E0"/>
        </patternFill>
      </fill>
    </dxf>
    <dxf>
      <font>
        <b/>
        <color rgb="FFFFFFFF"/>
      </font>
      <fill>
        <patternFill patternType="solid">
          <fgColor rgb="FFF2994A"/>
          <bgColor rgb="FFF2994A"/>
        </patternFill>
      </fill>
    </dxf>
    <dxf>
      <font>
        <b/>
        <color rgb="FFFFFFFF"/>
      </font>
      <fill>
        <patternFill patternType="solid">
          <fgColor rgb="FF27AE60"/>
          <bgColor rgb="FF27AE60"/>
        </patternFill>
      </fill>
    </dxf>
    <dxf>
      <font>
        <b/>
        <color rgb="FFFFFFFF"/>
      </font>
      <fill>
        <patternFill patternType="solid">
          <fgColor rgb="FF2F80ED"/>
          <bgColor rgb="FF2F80ED"/>
        </patternFill>
      </fill>
    </dxf>
    <dxf>
      <font>
        <b/>
        <color rgb="FFFFFFFF"/>
      </font>
      <fill>
        <patternFill patternType="solid">
          <fgColor rgb="FFEB5757"/>
          <bgColor rgb="FFEB5757"/>
        </patternFill>
      </fill>
    </dxf>
    <dxf>
      <font>
        <b/>
        <color rgb="FFFFFFFF"/>
      </font>
      <fill>
        <patternFill patternType="solid">
          <fgColor rgb="FFEB5757"/>
          <bgColor rgb="FFEB5757"/>
        </patternFill>
      </fill>
    </dxf>
    <dxf>
      <font>
        <b/>
        <color rgb="FFFFFFFF"/>
      </font>
      <fill>
        <patternFill patternType="solid">
          <fgColor rgb="FFEB5757"/>
          <bgColor rgb="FFEB5757"/>
        </patternFill>
      </fill>
    </dxf>
    <dxf>
      <font>
        <b/>
        <color rgb="FFFFFFFF"/>
      </font>
      <fill>
        <patternFill patternType="solid">
          <fgColor rgb="FF9B51E0"/>
          <bgColor rgb="FF9B51E0"/>
        </patternFill>
      </fill>
    </dxf>
    <dxf>
      <font>
        <b/>
        <color rgb="FFFFFFFF"/>
      </font>
      <fill>
        <patternFill patternType="solid">
          <fgColor rgb="FFF2994A"/>
          <bgColor rgb="FFF2994A"/>
        </patternFill>
      </fill>
    </dxf>
    <dxf>
      <font>
        <b/>
        <color rgb="FFFFFFFF"/>
      </font>
      <fill>
        <patternFill patternType="solid">
          <fgColor rgb="FF27AE60"/>
          <bgColor rgb="FF27AE60"/>
        </patternFill>
      </fill>
    </dxf>
    <dxf>
      <font>
        <b/>
        <color rgb="FFFFFFFF"/>
      </font>
      <fill>
        <patternFill patternType="solid">
          <fgColor rgb="FF2F80ED"/>
          <bgColor rgb="FF2F80E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80ED"/>
    <pageSetUpPr fitToPage="1"/>
  </sheetPr>
  <dimension ref="A1:V1000"/>
  <sheetViews>
    <sheetView showGridLines="0" tabSelected="1" topLeftCell="CD1" zoomScale="78" workbookViewId="0">
      <pane ySplit="1" topLeftCell="A2" activePane="bottomLeft" state="frozen"/>
      <selection pane="bottomLeft" activeCell="CS5" sqref="CS5"/>
    </sheetView>
  </sheetViews>
  <sheetFormatPr defaultColWidth="14.44140625" defaultRowHeight="15" customHeight="1"/>
  <cols>
    <col min="1" max="1" width="10" customWidth="1"/>
    <col min="2" max="2" width="30" customWidth="1"/>
    <col min="3" max="3" width="14" customWidth="1"/>
    <col min="4" max="4" width="34" customWidth="1"/>
    <col min="5" max="5" width="44" customWidth="1"/>
    <col min="6" max="6" width="34" customWidth="1"/>
    <col min="7" max="7" width="38" customWidth="1"/>
    <col min="8" max="8" width="30" customWidth="1"/>
    <col min="9" max="9" width="38" customWidth="1"/>
    <col min="10" max="13" width="34" customWidth="1"/>
    <col min="14" max="14" width="30" customWidth="1"/>
    <col min="15" max="15" width="12" customWidth="1"/>
    <col min="16" max="16" width="15" customWidth="1"/>
    <col min="17" max="17" width="14" customWidth="1"/>
    <col min="18" max="18" width="30" customWidth="1"/>
    <col min="19" max="19" width="8.6640625" customWidth="1"/>
    <col min="20" max="20" width="30" customWidth="1"/>
    <col min="21" max="22" width="3" customWidth="1"/>
    <col min="23" max="26" width="8.6640625" customWidth="1"/>
  </cols>
  <sheetData>
    <row r="1" spans="1:22" ht="39.75"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T1" s="37" t="s">
        <v>18</v>
      </c>
      <c r="U1" s="38"/>
      <c r="V1" s="38"/>
    </row>
    <row r="2" spans="1:22" ht="54" customHeight="1">
      <c r="A2" s="9" t="s">
        <v>19</v>
      </c>
      <c r="B2" s="11" t="s">
        <v>20</v>
      </c>
      <c r="C2" s="12" t="s">
        <v>21</v>
      </c>
      <c r="D2" s="13" t="s">
        <v>22</v>
      </c>
      <c r="E2" s="14" t="s">
        <v>23</v>
      </c>
      <c r="F2" s="14" t="s">
        <v>24</v>
      </c>
      <c r="G2" s="14" t="s">
        <v>25</v>
      </c>
      <c r="H2" s="14" t="s">
        <v>26</v>
      </c>
      <c r="I2" s="14" t="s">
        <v>27</v>
      </c>
      <c r="J2" s="14" t="s">
        <v>28</v>
      </c>
      <c r="K2" s="14" t="s">
        <v>29</v>
      </c>
      <c r="L2" s="14" t="s">
        <v>30</v>
      </c>
      <c r="M2" s="14" t="s">
        <v>31</v>
      </c>
      <c r="N2" s="14" t="s">
        <v>32</v>
      </c>
      <c r="O2" s="15" t="s">
        <v>33</v>
      </c>
      <c r="P2" s="14">
        <v>30</v>
      </c>
      <c r="Q2" s="7" t="s">
        <v>34</v>
      </c>
      <c r="R2" s="14"/>
      <c r="T2" s="34" t="s">
        <v>35</v>
      </c>
      <c r="U2" s="35"/>
      <c r="V2" s="36"/>
    </row>
    <row r="3" spans="1:22" ht="54" customHeight="1">
      <c r="A3" s="17" t="s">
        <v>36</v>
      </c>
      <c r="B3" s="11" t="s">
        <v>20</v>
      </c>
      <c r="C3" s="12" t="s">
        <v>21</v>
      </c>
      <c r="D3" s="18" t="s">
        <v>37</v>
      </c>
      <c r="E3" s="19" t="s">
        <v>23</v>
      </c>
      <c r="F3" s="19" t="s">
        <v>24</v>
      </c>
      <c r="G3" s="19" t="s">
        <v>25</v>
      </c>
      <c r="H3" s="19" t="s">
        <v>26</v>
      </c>
      <c r="I3" s="19" t="s">
        <v>27</v>
      </c>
      <c r="J3" s="19" t="s">
        <v>28</v>
      </c>
      <c r="K3" s="19" t="s">
        <v>29</v>
      </c>
      <c r="L3" s="19" t="s">
        <v>30</v>
      </c>
      <c r="M3" s="19" t="s">
        <v>31</v>
      </c>
      <c r="N3" s="19" t="s">
        <v>32</v>
      </c>
      <c r="O3" s="15" t="s">
        <v>33</v>
      </c>
      <c r="P3" s="19">
        <v>30</v>
      </c>
      <c r="Q3" s="7" t="s">
        <v>34</v>
      </c>
      <c r="R3" s="19"/>
      <c r="T3" s="51" t="s">
        <v>38</v>
      </c>
      <c r="U3" s="52"/>
      <c r="V3" s="53"/>
    </row>
    <row r="4" spans="1:22" ht="54" customHeight="1">
      <c r="A4" s="9" t="s">
        <v>39</v>
      </c>
      <c r="B4" s="11" t="s">
        <v>20</v>
      </c>
      <c r="C4" s="12" t="s">
        <v>21</v>
      </c>
      <c r="D4" s="13" t="s">
        <v>40</v>
      </c>
      <c r="E4" s="14" t="s">
        <v>23</v>
      </c>
      <c r="F4" s="14" t="s">
        <v>24</v>
      </c>
      <c r="G4" s="14" t="s">
        <v>25</v>
      </c>
      <c r="H4" s="14" t="s">
        <v>26</v>
      </c>
      <c r="I4" s="14" t="s">
        <v>27</v>
      </c>
      <c r="J4" s="14" t="s">
        <v>28</v>
      </c>
      <c r="K4" s="14" t="s">
        <v>29</v>
      </c>
      <c r="L4" s="14" t="s">
        <v>30</v>
      </c>
      <c r="M4" s="14" t="s">
        <v>31</v>
      </c>
      <c r="N4" s="14" t="s">
        <v>32</v>
      </c>
      <c r="O4" s="15" t="s">
        <v>33</v>
      </c>
      <c r="P4" s="14">
        <v>30</v>
      </c>
      <c r="Q4" s="7" t="s">
        <v>34</v>
      </c>
      <c r="R4" s="14"/>
      <c r="T4" s="48" t="s">
        <v>41</v>
      </c>
      <c r="U4" s="49"/>
      <c r="V4" s="50"/>
    </row>
    <row r="5" spans="1:22" ht="54" customHeight="1">
      <c r="A5" s="17" t="s">
        <v>42</v>
      </c>
      <c r="B5" s="11" t="s">
        <v>20</v>
      </c>
      <c r="C5" s="12" t="s">
        <v>21</v>
      </c>
      <c r="D5" s="18" t="s">
        <v>43</v>
      </c>
      <c r="E5" s="19" t="s">
        <v>23</v>
      </c>
      <c r="F5" s="19" t="s">
        <v>24</v>
      </c>
      <c r="G5" s="19" t="s">
        <v>25</v>
      </c>
      <c r="H5" s="19" t="s">
        <v>26</v>
      </c>
      <c r="I5" s="19" t="s">
        <v>27</v>
      </c>
      <c r="J5" s="19" t="s">
        <v>28</v>
      </c>
      <c r="K5" s="19" t="s">
        <v>29</v>
      </c>
      <c r="L5" s="19" t="s">
        <v>30</v>
      </c>
      <c r="M5" s="19" t="s">
        <v>31</v>
      </c>
      <c r="N5" s="19" t="s">
        <v>32</v>
      </c>
      <c r="O5" s="15" t="s">
        <v>33</v>
      </c>
      <c r="P5" s="19">
        <v>30</v>
      </c>
      <c r="Q5" s="7" t="s">
        <v>34</v>
      </c>
      <c r="R5" s="19"/>
      <c r="T5" s="39" t="s">
        <v>44</v>
      </c>
      <c r="U5" s="40"/>
      <c r="V5" s="41"/>
    </row>
    <row r="6" spans="1:22" ht="54" customHeight="1">
      <c r="A6" s="9" t="s">
        <v>45</v>
      </c>
      <c r="B6" s="11" t="s">
        <v>20</v>
      </c>
      <c r="C6" s="12" t="s">
        <v>21</v>
      </c>
      <c r="D6" s="13" t="s">
        <v>46</v>
      </c>
      <c r="E6" s="14" t="s">
        <v>23</v>
      </c>
      <c r="F6" s="14" t="s">
        <v>24</v>
      </c>
      <c r="G6" s="14" t="s">
        <v>25</v>
      </c>
      <c r="H6" s="14" t="s">
        <v>26</v>
      </c>
      <c r="I6" s="14" t="s">
        <v>27</v>
      </c>
      <c r="J6" s="14" t="s">
        <v>28</v>
      </c>
      <c r="K6" s="14" t="s">
        <v>29</v>
      </c>
      <c r="L6" s="14" t="s">
        <v>30</v>
      </c>
      <c r="M6" s="14" t="s">
        <v>31</v>
      </c>
      <c r="N6" s="14" t="s">
        <v>32</v>
      </c>
      <c r="O6" s="15" t="s">
        <v>33</v>
      </c>
      <c r="P6" s="14">
        <v>30</v>
      </c>
      <c r="Q6" s="7" t="s">
        <v>34</v>
      </c>
      <c r="R6" s="14"/>
      <c r="T6" s="42" t="s">
        <v>47</v>
      </c>
      <c r="U6" s="43"/>
      <c r="V6" s="44"/>
    </row>
    <row r="7" spans="1:22" ht="54" customHeight="1">
      <c r="A7" s="17" t="s">
        <v>48</v>
      </c>
      <c r="B7" s="11" t="s">
        <v>20</v>
      </c>
      <c r="C7" s="12" t="s">
        <v>21</v>
      </c>
      <c r="D7" s="79" t="s">
        <v>49</v>
      </c>
      <c r="E7" s="19" t="s">
        <v>23</v>
      </c>
      <c r="F7" s="19" t="s">
        <v>24</v>
      </c>
      <c r="G7" s="19" t="s">
        <v>25</v>
      </c>
      <c r="H7" s="19" t="s">
        <v>26</v>
      </c>
      <c r="I7" s="19" t="s">
        <v>27</v>
      </c>
      <c r="J7" s="19" t="s">
        <v>28</v>
      </c>
      <c r="K7" s="19" t="s">
        <v>29</v>
      </c>
      <c r="L7" s="19" t="s">
        <v>30</v>
      </c>
      <c r="M7" s="19" t="s">
        <v>31</v>
      </c>
      <c r="N7" s="19" t="s">
        <v>32</v>
      </c>
      <c r="O7" s="15" t="s">
        <v>33</v>
      </c>
      <c r="P7" s="19">
        <v>30</v>
      </c>
      <c r="Q7" s="7" t="s">
        <v>34</v>
      </c>
      <c r="R7" s="19"/>
      <c r="T7" s="54" t="s">
        <v>50</v>
      </c>
      <c r="U7" s="55"/>
      <c r="V7" s="56"/>
    </row>
    <row r="8" spans="1:22" ht="54" customHeight="1">
      <c r="A8" s="9" t="s">
        <v>51</v>
      </c>
      <c r="B8" s="11" t="s">
        <v>20</v>
      </c>
      <c r="C8" s="12" t="s">
        <v>21</v>
      </c>
      <c r="D8" s="13" t="s">
        <v>52</v>
      </c>
      <c r="E8" s="14" t="s">
        <v>23</v>
      </c>
      <c r="F8" s="14" t="s">
        <v>24</v>
      </c>
      <c r="G8" s="14" t="s">
        <v>25</v>
      </c>
      <c r="H8" s="14" t="s">
        <v>26</v>
      </c>
      <c r="I8" s="14" t="s">
        <v>27</v>
      </c>
      <c r="J8" s="14" t="s">
        <v>28</v>
      </c>
      <c r="K8" s="14" t="s">
        <v>29</v>
      </c>
      <c r="L8" s="14" t="s">
        <v>30</v>
      </c>
      <c r="M8" s="14" t="s">
        <v>31</v>
      </c>
      <c r="N8" s="14" t="s">
        <v>32</v>
      </c>
      <c r="O8" s="15" t="s">
        <v>33</v>
      </c>
      <c r="P8" s="14">
        <v>30</v>
      </c>
      <c r="Q8" s="7" t="s">
        <v>34</v>
      </c>
      <c r="R8" s="14"/>
      <c r="T8" s="45" t="s">
        <v>53</v>
      </c>
      <c r="U8" s="46"/>
      <c r="V8" s="47"/>
    </row>
    <row r="9" spans="1:22" ht="54" customHeight="1">
      <c r="A9" s="17" t="s">
        <v>54</v>
      </c>
      <c r="B9" s="11" t="s">
        <v>20</v>
      </c>
      <c r="C9" s="12" t="s">
        <v>21</v>
      </c>
      <c r="D9" s="18" t="s">
        <v>55</v>
      </c>
      <c r="E9" s="19" t="s">
        <v>23</v>
      </c>
      <c r="F9" s="19" t="s">
        <v>24</v>
      </c>
      <c r="G9" s="19" t="s">
        <v>25</v>
      </c>
      <c r="H9" s="19" t="s">
        <v>26</v>
      </c>
      <c r="I9" s="19" t="s">
        <v>27</v>
      </c>
      <c r="J9" s="19" t="s">
        <v>28</v>
      </c>
      <c r="K9" s="19" t="s">
        <v>29</v>
      </c>
      <c r="L9" s="19" t="s">
        <v>30</v>
      </c>
      <c r="M9" s="19" t="s">
        <v>31</v>
      </c>
      <c r="N9" s="19" t="s">
        <v>32</v>
      </c>
      <c r="O9" s="15" t="s">
        <v>33</v>
      </c>
      <c r="P9" s="19">
        <v>30</v>
      </c>
      <c r="Q9" s="7" t="s">
        <v>34</v>
      </c>
      <c r="R9" s="19"/>
      <c r="T9" s="42" t="s">
        <v>56</v>
      </c>
      <c r="U9" s="43"/>
      <c r="V9" s="44"/>
    </row>
    <row r="10" spans="1:22" ht="54" customHeight="1">
      <c r="A10" s="9" t="s">
        <v>57</v>
      </c>
      <c r="B10" s="11" t="s">
        <v>20</v>
      </c>
      <c r="C10" s="12" t="s">
        <v>21</v>
      </c>
      <c r="D10" s="13" t="s">
        <v>58</v>
      </c>
      <c r="E10" s="14" t="s">
        <v>23</v>
      </c>
      <c r="F10" s="14" t="s">
        <v>24</v>
      </c>
      <c r="G10" s="14" t="s">
        <v>25</v>
      </c>
      <c r="H10" s="14" t="s">
        <v>26</v>
      </c>
      <c r="I10" s="14" t="s">
        <v>27</v>
      </c>
      <c r="J10" s="14" t="s">
        <v>28</v>
      </c>
      <c r="K10" s="14" t="s">
        <v>29</v>
      </c>
      <c r="L10" s="14" t="s">
        <v>30</v>
      </c>
      <c r="M10" s="14" t="s">
        <v>31</v>
      </c>
      <c r="N10" s="14" t="s">
        <v>32</v>
      </c>
      <c r="O10" s="15" t="s">
        <v>33</v>
      </c>
      <c r="P10" s="14">
        <v>30</v>
      </c>
      <c r="Q10" s="7" t="s">
        <v>34</v>
      </c>
      <c r="R10" s="14"/>
      <c r="T10" s="57" t="s">
        <v>34</v>
      </c>
      <c r="U10" s="58"/>
      <c r="V10" s="59"/>
    </row>
    <row r="11" spans="1:22" ht="54" customHeight="1">
      <c r="A11" s="17" t="s">
        <v>59</v>
      </c>
      <c r="B11" s="11" t="s">
        <v>20</v>
      </c>
      <c r="C11" s="12" t="s">
        <v>21</v>
      </c>
      <c r="D11" s="18" t="s">
        <v>60</v>
      </c>
      <c r="E11" s="19" t="s">
        <v>23</v>
      </c>
      <c r="F11" s="19" t="s">
        <v>24</v>
      </c>
      <c r="G11" s="19" t="s">
        <v>25</v>
      </c>
      <c r="H11" s="19" t="s">
        <v>26</v>
      </c>
      <c r="I11" s="19" t="s">
        <v>27</v>
      </c>
      <c r="J11" s="19" t="s">
        <v>28</v>
      </c>
      <c r="K11" s="19" t="s">
        <v>29</v>
      </c>
      <c r="L11" s="19" t="s">
        <v>30</v>
      </c>
      <c r="M11" s="19" t="s">
        <v>31</v>
      </c>
      <c r="N11" s="19" t="s">
        <v>32</v>
      </c>
      <c r="O11" s="15" t="s">
        <v>33</v>
      </c>
      <c r="P11" s="19">
        <v>30</v>
      </c>
      <c r="Q11" s="7" t="s">
        <v>34</v>
      </c>
      <c r="R11" s="19"/>
      <c r="T11" s="57" t="s">
        <v>61</v>
      </c>
      <c r="U11" s="58"/>
      <c r="V11" s="59"/>
    </row>
    <row r="12" spans="1:22" ht="54" customHeight="1">
      <c r="A12" s="9" t="s">
        <v>62</v>
      </c>
      <c r="B12" s="11" t="s">
        <v>20</v>
      </c>
      <c r="C12" s="12" t="s">
        <v>21</v>
      </c>
      <c r="D12" s="13" t="s">
        <v>63</v>
      </c>
      <c r="E12" s="14" t="s">
        <v>23</v>
      </c>
      <c r="F12" s="14" t="s">
        <v>24</v>
      </c>
      <c r="G12" s="14" t="s">
        <v>25</v>
      </c>
      <c r="H12" s="14" t="s">
        <v>26</v>
      </c>
      <c r="I12" s="14" t="s">
        <v>27</v>
      </c>
      <c r="J12" s="14" t="s">
        <v>28</v>
      </c>
      <c r="K12" s="14" t="s">
        <v>29</v>
      </c>
      <c r="L12" s="14" t="s">
        <v>30</v>
      </c>
      <c r="M12" s="14" t="s">
        <v>31</v>
      </c>
      <c r="N12" s="14" t="s">
        <v>32</v>
      </c>
      <c r="O12" s="15" t="s">
        <v>33</v>
      </c>
      <c r="P12" s="14">
        <v>30</v>
      </c>
      <c r="Q12" s="7" t="s">
        <v>34</v>
      </c>
      <c r="R12" s="14"/>
      <c r="T12" s="45" t="s">
        <v>64</v>
      </c>
      <c r="U12" s="46"/>
      <c r="V12" s="47"/>
    </row>
    <row r="13" spans="1:22" ht="54" customHeight="1">
      <c r="A13" s="17" t="s">
        <v>65</v>
      </c>
      <c r="B13" s="11" t="s">
        <v>20</v>
      </c>
      <c r="C13" s="12" t="s">
        <v>21</v>
      </c>
      <c r="D13" s="18" t="s">
        <v>66</v>
      </c>
      <c r="E13" s="19" t="s">
        <v>23</v>
      </c>
      <c r="F13" s="19" t="s">
        <v>24</v>
      </c>
      <c r="G13" s="19" t="s">
        <v>25</v>
      </c>
      <c r="H13" s="19" t="s">
        <v>26</v>
      </c>
      <c r="I13" s="19" t="s">
        <v>27</v>
      </c>
      <c r="J13" s="19" t="s">
        <v>28</v>
      </c>
      <c r="K13" s="19" t="s">
        <v>29</v>
      </c>
      <c r="L13" s="19" t="s">
        <v>30</v>
      </c>
      <c r="M13" s="19" t="s">
        <v>31</v>
      </c>
      <c r="N13" s="19" t="s">
        <v>32</v>
      </c>
      <c r="O13" s="15" t="s">
        <v>33</v>
      </c>
      <c r="P13" s="19">
        <v>30</v>
      </c>
      <c r="Q13" s="7" t="s">
        <v>34</v>
      </c>
      <c r="R13" s="19"/>
      <c r="T13" s="42" t="s">
        <v>33</v>
      </c>
      <c r="U13" s="43"/>
      <c r="V13" s="44"/>
    </row>
    <row r="14" spans="1:22" ht="54" customHeight="1">
      <c r="A14" s="9" t="s">
        <v>67</v>
      </c>
      <c r="B14" s="11" t="s">
        <v>20</v>
      </c>
      <c r="C14" s="12" t="s">
        <v>21</v>
      </c>
      <c r="D14" s="13" t="s">
        <v>68</v>
      </c>
      <c r="E14" s="14" t="s">
        <v>23</v>
      </c>
      <c r="F14" s="14" t="s">
        <v>24</v>
      </c>
      <c r="G14" s="14" t="s">
        <v>25</v>
      </c>
      <c r="H14" s="14" t="s">
        <v>26</v>
      </c>
      <c r="I14" s="14" t="s">
        <v>27</v>
      </c>
      <c r="J14" s="14" t="s">
        <v>28</v>
      </c>
      <c r="K14" s="14" t="s">
        <v>29</v>
      </c>
      <c r="L14" s="14" t="s">
        <v>30</v>
      </c>
      <c r="M14" s="14" t="s">
        <v>31</v>
      </c>
      <c r="N14" s="14" t="s">
        <v>32</v>
      </c>
      <c r="O14" s="15" t="s">
        <v>33</v>
      </c>
      <c r="P14" s="14">
        <v>30</v>
      </c>
      <c r="Q14" s="7" t="s">
        <v>34</v>
      </c>
      <c r="R14" s="14"/>
    </row>
    <row r="15" spans="1:22" ht="54" customHeight="1">
      <c r="A15" s="17" t="s">
        <v>69</v>
      </c>
      <c r="B15" s="11" t="s">
        <v>20</v>
      </c>
      <c r="C15" s="12" t="s">
        <v>21</v>
      </c>
      <c r="D15" s="18" t="s">
        <v>70</v>
      </c>
      <c r="E15" s="19" t="s">
        <v>23</v>
      </c>
      <c r="F15" s="19" t="s">
        <v>24</v>
      </c>
      <c r="G15" s="19" t="s">
        <v>25</v>
      </c>
      <c r="H15" s="19" t="s">
        <v>26</v>
      </c>
      <c r="I15" s="19" t="s">
        <v>27</v>
      </c>
      <c r="J15" s="19" t="s">
        <v>28</v>
      </c>
      <c r="K15" s="19" t="s">
        <v>29</v>
      </c>
      <c r="L15" s="19" t="s">
        <v>30</v>
      </c>
      <c r="M15" s="19" t="s">
        <v>31</v>
      </c>
      <c r="N15" s="19" t="s">
        <v>32</v>
      </c>
      <c r="O15" s="15" t="s">
        <v>33</v>
      </c>
      <c r="P15" s="19">
        <v>30</v>
      </c>
      <c r="Q15" s="7" t="s">
        <v>34</v>
      </c>
      <c r="R15" s="19"/>
    </row>
    <row r="16" spans="1:22" ht="54" customHeight="1">
      <c r="A16" s="9" t="s">
        <v>71</v>
      </c>
      <c r="B16" s="11" t="s">
        <v>20</v>
      </c>
      <c r="C16" s="12" t="s">
        <v>21</v>
      </c>
      <c r="D16" s="13" t="s">
        <v>72</v>
      </c>
      <c r="E16" s="14" t="s">
        <v>23</v>
      </c>
      <c r="F16" s="14" t="s">
        <v>24</v>
      </c>
      <c r="G16" s="14" t="s">
        <v>25</v>
      </c>
      <c r="H16" s="14" t="s">
        <v>26</v>
      </c>
      <c r="I16" s="14" t="s">
        <v>27</v>
      </c>
      <c r="J16" s="14" t="s">
        <v>28</v>
      </c>
      <c r="K16" s="14" t="s">
        <v>29</v>
      </c>
      <c r="L16" s="14" t="s">
        <v>30</v>
      </c>
      <c r="M16" s="14" t="s">
        <v>31</v>
      </c>
      <c r="N16" s="14" t="s">
        <v>32</v>
      </c>
      <c r="O16" s="15" t="s">
        <v>33</v>
      </c>
      <c r="P16" s="14">
        <v>30</v>
      </c>
      <c r="Q16" s="7" t="s">
        <v>34</v>
      </c>
      <c r="R16" s="14"/>
    </row>
    <row r="17" spans="1:18" ht="54" customHeight="1">
      <c r="A17" s="17" t="s">
        <v>73</v>
      </c>
      <c r="B17" s="11" t="s">
        <v>20</v>
      </c>
      <c r="C17" s="12" t="s">
        <v>21</v>
      </c>
      <c r="D17" s="18" t="s">
        <v>74</v>
      </c>
      <c r="E17" s="19" t="s">
        <v>23</v>
      </c>
      <c r="F17" s="19" t="s">
        <v>24</v>
      </c>
      <c r="G17" s="19" t="s">
        <v>25</v>
      </c>
      <c r="H17" s="19" t="s">
        <v>26</v>
      </c>
      <c r="I17" s="19" t="s">
        <v>27</v>
      </c>
      <c r="J17" s="19" t="s">
        <v>28</v>
      </c>
      <c r="K17" s="19" t="s">
        <v>29</v>
      </c>
      <c r="L17" s="19" t="s">
        <v>30</v>
      </c>
      <c r="M17" s="19" t="s">
        <v>31</v>
      </c>
      <c r="N17" s="19" t="s">
        <v>32</v>
      </c>
      <c r="O17" s="15" t="s">
        <v>33</v>
      </c>
      <c r="P17" s="19">
        <v>30</v>
      </c>
      <c r="Q17" s="7" t="s">
        <v>34</v>
      </c>
      <c r="R17" s="19"/>
    </row>
    <row r="18" spans="1:18" ht="54" customHeight="1">
      <c r="A18" s="9" t="s">
        <v>75</v>
      </c>
      <c r="B18" s="11" t="s">
        <v>20</v>
      </c>
      <c r="C18" s="12" t="s">
        <v>21</v>
      </c>
      <c r="D18" s="13" t="s">
        <v>76</v>
      </c>
      <c r="E18" s="14" t="s">
        <v>23</v>
      </c>
      <c r="F18" s="14" t="s">
        <v>24</v>
      </c>
      <c r="G18" s="14" t="s">
        <v>25</v>
      </c>
      <c r="H18" s="14" t="s">
        <v>26</v>
      </c>
      <c r="I18" s="14" t="s">
        <v>27</v>
      </c>
      <c r="J18" s="14" t="s">
        <v>28</v>
      </c>
      <c r="K18" s="14" t="s">
        <v>29</v>
      </c>
      <c r="L18" s="14" t="s">
        <v>30</v>
      </c>
      <c r="M18" s="14" t="s">
        <v>31</v>
      </c>
      <c r="N18" s="14" t="s">
        <v>32</v>
      </c>
      <c r="O18" s="15" t="s">
        <v>33</v>
      </c>
      <c r="P18" s="14">
        <v>30</v>
      </c>
      <c r="Q18" s="7" t="s">
        <v>34</v>
      </c>
      <c r="R18" s="14"/>
    </row>
    <row r="19" spans="1:18" ht="54" customHeight="1">
      <c r="A19" s="17" t="s">
        <v>77</v>
      </c>
      <c r="B19" s="11" t="s">
        <v>20</v>
      </c>
      <c r="C19" s="12" t="s">
        <v>21</v>
      </c>
      <c r="D19" s="18" t="s">
        <v>78</v>
      </c>
      <c r="E19" s="19" t="s">
        <v>23</v>
      </c>
      <c r="F19" s="19" t="s">
        <v>24</v>
      </c>
      <c r="G19" s="19" t="s">
        <v>25</v>
      </c>
      <c r="H19" s="19" t="s">
        <v>26</v>
      </c>
      <c r="I19" s="19" t="s">
        <v>27</v>
      </c>
      <c r="J19" s="19" t="s">
        <v>28</v>
      </c>
      <c r="K19" s="19" t="s">
        <v>29</v>
      </c>
      <c r="L19" s="19" t="s">
        <v>30</v>
      </c>
      <c r="M19" s="19" t="s">
        <v>31</v>
      </c>
      <c r="N19" s="19" t="s">
        <v>32</v>
      </c>
      <c r="O19" s="15" t="s">
        <v>33</v>
      </c>
      <c r="P19" s="19">
        <v>30</v>
      </c>
      <c r="Q19" s="7" t="s">
        <v>34</v>
      </c>
      <c r="R19" s="19"/>
    </row>
    <row r="20" spans="1:18" ht="54" customHeight="1">
      <c r="A20" s="9" t="s">
        <v>79</v>
      </c>
      <c r="B20" s="11" t="s">
        <v>20</v>
      </c>
      <c r="C20" s="12" t="s">
        <v>21</v>
      </c>
      <c r="D20" s="13" t="s">
        <v>80</v>
      </c>
      <c r="E20" s="14" t="s">
        <v>23</v>
      </c>
      <c r="F20" s="14" t="s">
        <v>24</v>
      </c>
      <c r="G20" s="14" t="s">
        <v>25</v>
      </c>
      <c r="H20" s="14" t="s">
        <v>26</v>
      </c>
      <c r="I20" s="14" t="s">
        <v>27</v>
      </c>
      <c r="J20" s="14" t="s">
        <v>28</v>
      </c>
      <c r="K20" s="14" t="s">
        <v>29</v>
      </c>
      <c r="L20" s="14" t="s">
        <v>30</v>
      </c>
      <c r="M20" s="14" t="s">
        <v>31</v>
      </c>
      <c r="N20" s="14" t="s">
        <v>32</v>
      </c>
      <c r="O20" s="15" t="s">
        <v>33</v>
      </c>
      <c r="P20" s="14">
        <v>30</v>
      </c>
      <c r="Q20" s="7" t="s">
        <v>34</v>
      </c>
      <c r="R20" s="14"/>
    </row>
    <row r="21" spans="1:18" ht="54" customHeight="1">
      <c r="A21" s="17" t="s">
        <v>81</v>
      </c>
      <c r="B21" s="11" t="s">
        <v>20</v>
      </c>
      <c r="C21" s="12" t="s">
        <v>21</v>
      </c>
      <c r="D21" s="18" t="s">
        <v>82</v>
      </c>
      <c r="E21" s="19" t="s">
        <v>23</v>
      </c>
      <c r="F21" s="19" t="s">
        <v>24</v>
      </c>
      <c r="G21" s="19" t="s">
        <v>25</v>
      </c>
      <c r="H21" s="19" t="s">
        <v>26</v>
      </c>
      <c r="I21" s="19" t="s">
        <v>27</v>
      </c>
      <c r="J21" s="19" t="s">
        <v>28</v>
      </c>
      <c r="K21" s="19" t="s">
        <v>29</v>
      </c>
      <c r="L21" s="19" t="s">
        <v>30</v>
      </c>
      <c r="M21" s="19" t="s">
        <v>31</v>
      </c>
      <c r="N21" s="19" t="s">
        <v>32</v>
      </c>
      <c r="O21" s="15" t="s">
        <v>33</v>
      </c>
      <c r="P21" s="19">
        <v>30</v>
      </c>
      <c r="Q21" s="7" t="s">
        <v>34</v>
      </c>
      <c r="R21" s="19"/>
    </row>
    <row r="22" spans="1:18" ht="54" customHeight="1">
      <c r="A22" s="9" t="s">
        <v>83</v>
      </c>
      <c r="B22" s="11" t="s">
        <v>20</v>
      </c>
      <c r="C22" s="12" t="s">
        <v>21</v>
      </c>
      <c r="D22" s="13" t="s">
        <v>84</v>
      </c>
      <c r="E22" s="14" t="s">
        <v>23</v>
      </c>
      <c r="F22" s="14" t="s">
        <v>24</v>
      </c>
      <c r="G22" s="14" t="s">
        <v>25</v>
      </c>
      <c r="H22" s="14" t="s">
        <v>26</v>
      </c>
      <c r="I22" s="14" t="s">
        <v>27</v>
      </c>
      <c r="J22" s="14" t="s">
        <v>28</v>
      </c>
      <c r="K22" s="14" t="s">
        <v>29</v>
      </c>
      <c r="L22" s="14" t="s">
        <v>30</v>
      </c>
      <c r="M22" s="14" t="s">
        <v>31</v>
      </c>
      <c r="N22" s="14" t="s">
        <v>32</v>
      </c>
      <c r="O22" s="15" t="s">
        <v>33</v>
      </c>
      <c r="P22" s="14">
        <v>30</v>
      </c>
      <c r="Q22" s="7" t="s">
        <v>34</v>
      </c>
      <c r="R22" s="14"/>
    </row>
    <row r="23" spans="1:18" ht="54" customHeight="1">
      <c r="A23" s="17" t="s">
        <v>85</v>
      </c>
      <c r="B23" s="11" t="s">
        <v>20</v>
      </c>
      <c r="C23" s="12" t="s">
        <v>21</v>
      </c>
      <c r="D23" s="18" t="s">
        <v>86</v>
      </c>
      <c r="E23" s="19" t="s">
        <v>23</v>
      </c>
      <c r="F23" s="19" t="s">
        <v>24</v>
      </c>
      <c r="G23" s="19" t="s">
        <v>25</v>
      </c>
      <c r="H23" s="19" t="s">
        <v>26</v>
      </c>
      <c r="I23" s="19" t="s">
        <v>27</v>
      </c>
      <c r="J23" s="19" t="s">
        <v>28</v>
      </c>
      <c r="K23" s="19" t="s">
        <v>29</v>
      </c>
      <c r="L23" s="19" t="s">
        <v>30</v>
      </c>
      <c r="M23" s="19" t="s">
        <v>31</v>
      </c>
      <c r="N23" s="19" t="s">
        <v>32</v>
      </c>
      <c r="O23" s="15" t="s">
        <v>33</v>
      </c>
      <c r="P23" s="19">
        <v>30</v>
      </c>
      <c r="Q23" s="7" t="s">
        <v>34</v>
      </c>
      <c r="R23" s="19"/>
    </row>
    <row r="24" spans="1:18" ht="54" customHeight="1">
      <c r="A24" s="9" t="s">
        <v>87</v>
      </c>
      <c r="B24" s="20" t="s">
        <v>88</v>
      </c>
      <c r="C24" s="21" t="s">
        <v>89</v>
      </c>
      <c r="D24" s="13" t="s">
        <v>90</v>
      </c>
      <c r="E24" s="14" t="s">
        <v>91</v>
      </c>
      <c r="F24" s="14" t="s">
        <v>92</v>
      </c>
      <c r="G24" s="14" t="s">
        <v>93</v>
      </c>
      <c r="H24" s="14" t="s">
        <v>94</v>
      </c>
      <c r="I24" s="14" t="s">
        <v>95</v>
      </c>
      <c r="J24" s="14" t="s">
        <v>96</v>
      </c>
      <c r="K24" s="14" t="s">
        <v>97</v>
      </c>
      <c r="L24" s="14" t="s">
        <v>98</v>
      </c>
      <c r="M24" s="14" t="s">
        <v>99</v>
      </c>
      <c r="N24" s="14" t="s">
        <v>33</v>
      </c>
      <c r="O24" s="14">
        <v>30</v>
      </c>
      <c r="P24" s="14" t="s">
        <v>100</v>
      </c>
      <c r="Q24" s="7" t="s">
        <v>34</v>
      </c>
      <c r="R24" s="14"/>
    </row>
    <row r="25" spans="1:18" ht="54" customHeight="1">
      <c r="A25" s="17" t="s">
        <v>101</v>
      </c>
      <c r="B25" s="20" t="s">
        <v>88</v>
      </c>
      <c r="C25" s="21" t="s">
        <v>89</v>
      </c>
      <c r="D25" s="18" t="s">
        <v>102</v>
      </c>
      <c r="E25" s="19" t="s">
        <v>103</v>
      </c>
      <c r="F25" s="19" t="s">
        <v>92</v>
      </c>
      <c r="G25" s="19" t="s">
        <v>93</v>
      </c>
      <c r="H25" s="19" t="s">
        <v>94</v>
      </c>
      <c r="I25" s="19" t="s">
        <v>95</v>
      </c>
      <c r="J25" s="19" t="s">
        <v>96</v>
      </c>
      <c r="K25" s="19" t="s">
        <v>97</v>
      </c>
      <c r="L25" s="19" t="s">
        <v>98</v>
      </c>
      <c r="M25" s="19" t="s">
        <v>99</v>
      </c>
      <c r="N25" s="19" t="s">
        <v>33</v>
      </c>
      <c r="O25" s="19">
        <v>30</v>
      </c>
      <c r="P25" s="19" t="s">
        <v>100</v>
      </c>
      <c r="Q25" s="7" t="s">
        <v>34</v>
      </c>
      <c r="R25" s="19"/>
    </row>
    <row r="26" spans="1:18" ht="54" customHeight="1">
      <c r="A26" s="9" t="s">
        <v>104</v>
      </c>
      <c r="B26" s="20" t="s">
        <v>88</v>
      </c>
      <c r="C26" s="21" t="s">
        <v>89</v>
      </c>
      <c r="D26" s="13" t="s">
        <v>105</v>
      </c>
      <c r="E26" s="14" t="s">
        <v>106</v>
      </c>
      <c r="F26" s="14" t="s">
        <v>92</v>
      </c>
      <c r="G26" s="14" t="s">
        <v>93</v>
      </c>
      <c r="H26" s="14" t="s">
        <v>94</v>
      </c>
      <c r="I26" s="14" t="s">
        <v>95</v>
      </c>
      <c r="J26" s="14" t="s">
        <v>96</v>
      </c>
      <c r="K26" s="14" t="s">
        <v>97</v>
      </c>
      <c r="L26" s="14" t="s">
        <v>98</v>
      </c>
      <c r="M26" s="14" t="s">
        <v>99</v>
      </c>
      <c r="N26" s="14" t="s">
        <v>33</v>
      </c>
      <c r="O26" s="14">
        <v>30</v>
      </c>
      <c r="P26" s="14" t="s">
        <v>100</v>
      </c>
      <c r="Q26" s="7" t="s">
        <v>34</v>
      </c>
      <c r="R26" s="14"/>
    </row>
    <row r="27" spans="1:18" ht="54" customHeight="1">
      <c r="A27" s="17" t="s">
        <v>107</v>
      </c>
      <c r="B27" s="20" t="s">
        <v>88</v>
      </c>
      <c r="C27" s="21" t="s">
        <v>89</v>
      </c>
      <c r="D27" s="18" t="s">
        <v>108</v>
      </c>
      <c r="E27" s="19" t="s">
        <v>109</v>
      </c>
      <c r="F27" s="19" t="s">
        <v>92</v>
      </c>
      <c r="G27" s="19" t="s">
        <v>93</v>
      </c>
      <c r="H27" s="19" t="s">
        <v>94</v>
      </c>
      <c r="I27" s="19" t="s">
        <v>95</v>
      </c>
      <c r="J27" s="19" t="s">
        <v>96</v>
      </c>
      <c r="K27" s="19" t="s">
        <v>97</v>
      </c>
      <c r="L27" s="19" t="s">
        <v>98</v>
      </c>
      <c r="M27" s="19" t="s">
        <v>99</v>
      </c>
      <c r="N27" s="19" t="s">
        <v>33</v>
      </c>
      <c r="O27" s="19">
        <v>30</v>
      </c>
      <c r="P27" s="19" t="s">
        <v>100</v>
      </c>
      <c r="Q27" s="7" t="s">
        <v>34</v>
      </c>
      <c r="R27" s="19"/>
    </row>
    <row r="28" spans="1:18" ht="54" customHeight="1">
      <c r="A28" s="9" t="s">
        <v>110</v>
      </c>
      <c r="B28" s="20" t="s">
        <v>88</v>
      </c>
      <c r="C28" s="21" t="s">
        <v>89</v>
      </c>
      <c r="D28" s="13" t="s">
        <v>111</v>
      </c>
      <c r="E28" s="14" t="s">
        <v>112</v>
      </c>
      <c r="F28" s="14" t="s">
        <v>92</v>
      </c>
      <c r="G28" s="14" t="s">
        <v>93</v>
      </c>
      <c r="H28" s="14" t="s">
        <v>94</v>
      </c>
      <c r="I28" s="14" t="s">
        <v>95</v>
      </c>
      <c r="J28" s="14" t="s">
        <v>96</v>
      </c>
      <c r="K28" s="14" t="s">
        <v>97</v>
      </c>
      <c r="L28" s="14" t="s">
        <v>98</v>
      </c>
      <c r="M28" s="14" t="s">
        <v>99</v>
      </c>
      <c r="N28" s="14" t="s">
        <v>33</v>
      </c>
      <c r="O28" s="14">
        <v>30</v>
      </c>
      <c r="P28" s="14" t="s">
        <v>100</v>
      </c>
      <c r="Q28" s="7" t="s">
        <v>34</v>
      </c>
      <c r="R28" s="14"/>
    </row>
    <row r="29" spans="1:18" ht="54" customHeight="1">
      <c r="A29" s="17" t="s">
        <v>113</v>
      </c>
      <c r="B29" s="20" t="s">
        <v>88</v>
      </c>
      <c r="C29" s="21" t="s">
        <v>89</v>
      </c>
      <c r="D29" s="18" t="s">
        <v>114</v>
      </c>
      <c r="E29" s="19" t="s">
        <v>115</v>
      </c>
      <c r="F29" s="19" t="s">
        <v>92</v>
      </c>
      <c r="G29" s="19" t="s">
        <v>93</v>
      </c>
      <c r="H29" s="19" t="s">
        <v>94</v>
      </c>
      <c r="I29" s="19" t="s">
        <v>95</v>
      </c>
      <c r="J29" s="19" t="s">
        <v>96</v>
      </c>
      <c r="K29" s="19" t="s">
        <v>97</v>
      </c>
      <c r="L29" s="19" t="s">
        <v>98</v>
      </c>
      <c r="M29" s="19" t="s">
        <v>99</v>
      </c>
      <c r="N29" s="19" t="s">
        <v>33</v>
      </c>
      <c r="O29" s="19">
        <v>30</v>
      </c>
      <c r="P29" s="19" t="s">
        <v>100</v>
      </c>
      <c r="Q29" s="7" t="s">
        <v>34</v>
      </c>
      <c r="R29" s="19"/>
    </row>
    <row r="30" spans="1:18" ht="54" customHeight="1">
      <c r="A30" s="9" t="s">
        <v>116</v>
      </c>
      <c r="B30" s="20" t="s">
        <v>88</v>
      </c>
      <c r="C30" s="21" t="s">
        <v>89</v>
      </c>
      <c r="D30" s="13" t="s">
        <v>117</v>
      </c>
      <c r="E30" s="14" t="s">
        <v>118</v>
      </c>
      <c r="F30" s="14" t="s">
        <v>92</v>
      </c>
      <c r="G30" s="14" t="s">
        <v>93</v>
      </c>
      <c r="H30" s="14" t="s">
        <v>94</v>
      </c>
      <c r="I30" s="14" t="s">
        <v>95</v>
      </c>
      <c r="J30" s="14" t="s">
        <v>96</v>
      </c>
      <c r="K30" s="14" t="s">
        <v>97</v>
      </c>
      <c r="L30" s="14" t="s">
        <v>98</v>
      </c>
      <c r="M30" s="14" t="s">
        <v>99</v>
      </c>
      <c r="N30" s="14" t="s">
        <v>33</v>
      </c>
      <c r="O30" s="14">
        <v>30</v>
      </c>
      <c r="P30" s="14" t="s">
        <v>100</v>
      </c>
      <c r="Q30" s="7" t="s">
        <v>34</v>
      </c>
      <c r="R30" s="14"/>
    </row>
    <row r="31" spans="1:18" ht="54" customHeight="1">
      <c r="A31" s="17" t="s">
        <v>119</v>
      </c>
      <c r="B31" s="20" t="s">
        <v>88</v>
      </c>
      <c r="C31" s="21" t="s">
        <v>89</v>
      </c>
      <c r="D31" s="18" t="s">
        <v>120</v>
      </c>
      <c r="E31" s="19" t="s">
        <v>121</v>
      </c>
      <c r="F31" s="19" t="s">
        <v>92</v>
      </c>
      <c r="G31" s="19" t="s">
        <v>93</v>
      </c>
      <c r="H31" s="19" t="s">
        <v>94</v>
      </c>
      <c r="I31" s="19" t="s">
        <v>95</v>
      </c>
      <c r="J31" s="19" t="s">
        <v>96</v>
      </c>
      <c r="K31" s="19" t="s">
        <v>97</v>
      </c>
      <c r="L31" s="19" t="s">
        <v>98</v>
      </c>
      <c r="M31" s="19" t="s">
        <v>99</v>
      </c>
      <c r="N31" s="19" t="s">
        <v>33</v>
      </c>
      <c r="O31" s="19">
        <v>30</v>
      </c>
      <c r="P31" s="19" t="s">
        <v>100</v>
      </c>
      <c r="Q31" s="7" t="s">
        <v>34</v>
      </c>
      <c r="R31" s="19"/>
    </row>
    <row r="32" spans="1:18" ht="54" customHeight="1">
      <c r="A32" s="9" t="s">
        <v>122</v>
      </c>
      <c r="B32" s="20" t="s">
        <v>88</v>
      </c>
      <c r="C32" s="21" t="s">
        <v>89</v>
      </c>
      <c r="D32" s="13" t="s">
        <v>123</v>
      </c>
      <c r="E32" s="14" t="s">
        <v>124</v>
      </c>
      <c r="F32" s="14" t="s">
        <v>92</v>
      </c>
      <c r="G32" s="14" t="s">
        <v>93</v>
      </c>
      <c r="H32" s="14" t="s">
        <v>94</v>
      </c>
      <c r="I32" s="14" t="s">
        <v>95</v>
      </c>
      <c r="J32" s="14" t="s">
        <v>96</v>
      </c>
      <c r="K32" s="14" t="s">
        <v>97</v>
      </c>
      <c r="L32" s="14" t="s">
        <v>98</v>
      </c>
      <c r="M32" s="14" t="s">
        <v>99</v>
      </c>
      <c r="N32" s="14" t="s">
        <v>33</v>
      </c>
      <c r="O32" s="14">
        <v>30</v>
      </c>
      <c r="P32" s="14" t="s">
        <v>100</v>
      </c>
      <c r="Q32" s="7" t="s">
        <v>34</v>
      </c>
      <c r="R32" s="14"/>
    </row>
    <row r="33" spans="1:18" ht="54" customHeight="1">
      <c r="A33" s="17" t="s">
        <v>125</v>
      </c>
      <c r="B33" s="20" t="s">
        <v>88</v>
      </c>
      <c r="C33" s="21" t="s">
        <v>89</v>
      </c>
      <c r="D33" s="18" t="s">
        <v>126</v>
      </c>
      <c r="E33" s="19" t="s">
        <v>127</v>
      </c>
      <c r="F33" s="19" t="s">
        <v>92</v>
      </c>
      <c r="G33" s="19" t="s">
        <v>93</v>
      </c>
      <c r="H33" s="19" t="s">
        <v>94</v>
      </c>
      <c r="I33" s="19" t="s">
        <v>95</v>
      </c>
      <c r="J33" s="19" t="s">
        <v>96</v>
      </c>
      <c r="K33" s="19" t="s">
        <v>97</v>
      </c>
      <c r="L33" s="19" t="s">
        <v>98</v>
      </c>
      <c r="M33" s="19" t="s">
        <v>99</v>
      </c>
      <c r="N33" s="19" t="s">
        <v>33</v>
      </c>
      <c r="O33" s="19">
        <v>30</v>
      </c>
      <c r="P33" s="19" t="s">
        <v>100</v>
      </c>
      <c r="Q33" s="7" t="s">
        <v>34</v>
      </c>
      <c r="R33" s="19"/>
    </row>
    <row r="34" spans="1:18" ht="54" customHeight="1">
      <c r="A34" s="9" t="s">
        <v>128</v>
      </c>
      <c r="B34" s="20" t="s">
        <v>88</v>
      </c>
      <c r="C34" s="21" t="s">
        <v>89</v>
      </c>
      <c r="D34" s="13" t="s">
        <v>129</v>
      </c>
      <c r="E34" s="14" t="s">
        <v>130</v>
      </c>
      <c r="F34" s="14" t="s">
        <v>92</v>
      </c>
      <c r="G34" s="14" t="s">
        <v>93</v>
      </c>
      <c r="H34" s="14" t="s">
        <v>94</v>
      </c>
      <c r="I34" s="14" t="s">
        <v>95</v>
      </c>
      <c r="J34" s="14" t="s">
        <v>96</v>
      </c>
      <c r="K34" s="14" t="s">
        <v>97</v>
      </c>
      <c r="L34" s="14" t="s">
        <v>98</v>
      </c>
      <c r="M34" s="14" t="s">
        <v>99</v>
      </c>
      <c r="N34" s="14" t="s">
        <v>33</v>
      </c>
      <c r="O34" s="14">
        <v>30</v>
      </c>
      <c r="P34" s="14" t="s">
        <v>100</v>
      </c>
      <c r="Q34" s="7" t="s">
        <v>34</v>
      </c>
      <c r="R34" s="14"/>
    </row>
    <row r="35" spans="1:18" ht="54" customHeight="1">
      <c r="A35" s="17" t="s">
        <v>131</v>
      </c>
      <c r="B35" s="20" t="s">
        <v>88</v>
      </c>
      <c r="C35" s="21" t="s">
        <v>89</v>
      </c>
      <c r="D35" s="18" t="s">
        <v>132</v>
      </c>
      <c r="E35" s="19" t="s">
        <v>133</v>
      </c>
      <c r="F35" s="19" t="s">
        <v>92</v>
      </c>
      <c r="G35" s="19" t="s">
        <v>93</v>
      </c>
      <c r="H35" s="19" t="s">
        <v>94</v>
      </c>
      <c r="I35" s="19" t="s">
        <v>95</v>
      </c>
      <c r="J35" s="19" t="s">
        <v>96</v>
      </c>
      <c r="K35" s="19" t="s">
        <v>97</v>
      </c>
      <c r="L35" s="19" t="s">
        <v>98</v>
      </c>
      <c r="M35" s="19" t="s">
        <v>99</v>
      </c>
      <c r="N35" s="19" t="s">
        <v>33</v>
      </c>
      <c r="O35" s="19">
        <v>30</v>
      </c>
      <c r="P35" s="19" t="s">
        <v>100</v>
      </c>
      <c r="Q35" s="7" t="s">
        <v>34</v>
      </c>
      <c r="R35" s="19"/>
    </row>
    <row r="36" spans="1:18" ht="54" customHeight="1">
      <c r="A36" s="9" t="s">
        <v>134</v>
      </c>
      <c r="B36" s="22" t="s">
        <v>135</v>
      </c>
      <c r="C36" s="23" t="s">
        <v>136</v>
      </c>
      <c r="D36" s="13" t="s">
        <v>137</v>
      </c>
      <c r="E36" s="14" t="s">
        <v>138</v>
      </c>
      <c r="F36" s="14" t="s">
        <v>139</v>
      </c>
      <c r="G36" s="14" t="s">
        <v>140</v>
      </c>
      <c r="H36" s="14" t="s">
        <v>141</v>
      </c>
      <c r="I36" s="14" t="s">
        <v>142</v>
      </c>
      <c r="J36" s="14" t="s">
        <v>143</v>
      </c>
      <c r="K36" s="14" t="s">
        <v>144</v>
      </c>
      <c r="L36" s="14" t="s">
        <v>145</v>
      </c>
      <c r="M36" s="14" t="s">
        <v>146</v>
      </c>
      <c r="N36" s="14" t="s">
        <v>147</v>
      </c>
      <c r="O36" s="15" t="s">
        <v>33</v>
      </c>
      <c r="P36" s="14">
        <v>30</v>
      </c>
      <c r="Q36" s="7" t="s">
        <v>34</v>
      </c>
      <c r="R36" s="14"/>
    </row>
    <row r="37" spans="1:18" ht="54" customHeight="1">
      <c r="A37" s="17" t="s">
        <v>148</v>
      </c>
      <c r="B37" s="22" t="s">
        <v>135</v>
      </c>
      <c r="C37" s="23" t="s">
        <v>136</v>
      </c>
      <c r="D37" s="18" t="s">
        <v>149</v>
      </c>
      <c r="E37" s="19" t="s">
        <v>150</v>
      </c>
      <c r="F37" s="19" t="s">
        <v>139</v>
      </c>
      <c r="G37" s="19" t="s">
        <v>140</v>
      </c>
      <c r="H37" s="19" t="s">
        <v>141</v>
      </c>
      <c r="I37" s="19" t="s">
        <v>142</v>
      </c>
      <c r="J37" s="19" t="s">
        <v>143</v>
      </c>
      <c r="K37" s="19" t="s">
        <v>144</v>
      </c>
      <c r="L37" s="19" t="s">
        <v>145</v>
      </c>
      <c r="M37" s="19" t="s">
        <v>146</v>
      </c>
      <c r="N37" s="19" t="s">
        <v>147</v>
      </c>
      <c r="O37" s="15" t="s">
        <v>33</v>
      </c>
      <c r="P37" s="19">
        <v>30</v>
      </c>
      <c r="Q37" s="7" t="s">
        <v>34</v>
      </c>
      <c r="R37" s="19"/>
    </row>
    <row r="38" spans="1:18" ht="54" customHeight="1">
      <c r="A38" s="9" t="s">
        <v>151</v>
      </c>
      <c r="B38" s="22" t="s">
        <v>135</v>
      </c>
      <c r="C38" s="23" t="s">
        <v>136</v>
      </c>
      <c r="D38" s="13" t="s">
        <v>152</v>
      </c>
      <c r="E38" s="14" t="s">
        <v>153</v>
      </c>
      <c r="F38" s="14" t="s">
        <v>139</v>
      </c>
      <c r="G38" s="14" t="s">
        <v>140</v>
      </c>
      <c r="H38" s="14" t="s">
        <v>141</v>
      </c>
      <c r="I38" s="14" t="s">
        <v>142</v>
      </c>
      <c r="J38" s="14" t="s">
        <v>143</v>
      </c>
      <c r="K38" s="14" t="s">
        <v>144</v>
      </c>
      <c r="L38" s="14" t="s">
        <v>145</v>
      </c>
      <c r="M38" s="14" t="s">
        <v>146</v>
      </c>
      <c r="N38" s="14" t="s">
        <v>147</v>
      </c>
      <c r="O38" s="15" t="s">
        <v>33</v>
      </c>
      <c r="P38" s="14">
        <v>30</v>
      </c>
      <c r="Q38" s="7" t="s">
        <v>34</v>
      </c>
      <c r="R38" s="14"/>
    </row>
    <row r="39" spans="1:18" ht="54" customHeight="1">
      <c r="A39" s="17" t="s">
        <v>154</v>
      </c>
      <c r="B39" s="22" t="s">
        <v>135</v>
      </c>
      <c r="C39" s="23" t="s">
        <v>136</v>
      </c>
      <c r="D39" s="18" t="s">
        <v>155</v>
      </c>
      <c r="E39" s="19" t="s">
        <v>156</v>
      </c>
      <c r="F39" s="19" t="s">
        <v>139</v>
      </c>
      <c r="G39" s="19" t="s">
        <v>140</v>
      </c>
      <c r="H39" s="19" t="s">
        <v>141</v>
      </c>
      <c r="I39" s="19" t="s">
        <v>142</v>
      </c>
      <c r="J39" s="19" t="s">
        <v>143</v>
      </c>
      <c r="K39" s="19" t="s">
        <v>144</v>
      </c>
      <c r="L39" s="19" t="s">
        <v>145</v>
      </c>
      <c r="M39" s="19" t="s">
        <v>146</v>
      </c>
      <c r="N39" s="19" t="s">
        <v>147</v>
      </c>
      <c r="O39" s="15" t="s">
        <v>33</v>
      </c>
      <c r="P39" s="19">
        <v>30</v>
      </c>
      <c r="Q39" s="7" t="s">
        <v>34</v>
      </c>
      <c r="R39" s="19"/>
    </row>
    <row r="40" spans="1:18" ht="54" customHeight="1">
      <c r="A40" s="9" t="s">
        <v>157</v>
      </c>
      <c r="B40" s="22" t="s">
        <v>135</v>
      </c>
      <c r="C40" s="23" t="s">
        <v>136</v>
      </c>
      <c r="D40" s="13" t="s">
        <v>158</v>
      </c>
      <c r="E40" s="14" t="s">
        <v>159</v>
      </c>
      <c r="F40" s="14" t="s">
        <v>139</v>
      </c>
      <c r="G40" s="14" t="s">
        <v>140</v>
      </c>
      <c r="H40" s="14" t="s">
        <v>141</v>
      </c>
      <c r="I40" s="14" t="s">
        <v>142</v>
      </c>
      <c r="J40" s="14" t="s">
        <v>143</v>
      </c>
      <c r="K40" s="14" t="s">
        <v>144</v>
      </c>
      <c r="L40" s="14" t="s">
        <v>145</v>
      </c>
      <c r="M40" s="14" t="s">
        <v>146</v>
      </c>
      <c r="N40" s="14" t="s">
        <v>147</v>
      </c>
      <c r="O40" s="15" t="s">
        <v>33</v>
      </c>
      <c r="P40" s="14">
        <v>30</v>
      </c>
      <c r="Q40" s="7" t="s">
        <v>34</v>
      </c>
      <c r="R40" s="14"/>
    </row>
    <row r="41" spans="1:18" ht="54" customHeight="1">
      <c r="A41" s="17" t="s">
        <v>160</v>
      </c>
      <c r="B41" s="22" t="s">
        <v>135</v>
      </c>
      <c r="C41" s="23" t="s">
        <v>136</v>
      </c>
      <c r="D41" s="18" t="s">
        <v>161</v>
      </c>
      <c r="E41" s="19" t="s">
        <v>162</v>
      </c>
      <c r="F41" s="19" t="s">
        <v>139</v>
      </c>
      <c r="G41" s="19" t="s">
        <v>140</v>
      </c>
      <c r="H41" s="19" t="s">
        <v>141</v>
      </c>
      <c r="I41" s="19" t="s">
        <v>142</v>
      </c>
      <c r="J41" s="19" t="s">
        <v>143</v>
      </c>
      <c r="K41" s="19" t="s">
        <v>144</v>
      </c>
      <c r="L41" s="19" t="s">
        <v>145</v>
      </c>
      <c r="M41" s="19" t="s">
        <v>146</v>
      </c>
      <c r="N41" s="19" t="s">
        <v>147</v>
      </c>
      <c r="O41" s="15" t="s">
        <v>33</v>
      </c>
      <c r="P41" s="19">
        <v>30</v>
      </c>
      <c r="Q41" s="7" t="s">
        <v>34</v>
      </c>
      <c r="R41" s="19"/>
    </row>
    <row r="42" spans="1:18" ht="54" customHeight="1">
      <c r="A42" s="9" t="s">
        <v>163</v>
      </c>
      <c r="B42" s="22" t="s">
        <v>135</v>
      </c>
      <c r="C42" s="23" t="s">
        <v>136</v>
      </c>
      <c r="D42" s="13" t="s">
        <v>164</v>
      </c>
      <c r="E42" s="14" t="s">
        <v>165</v>
      </c>
      <c r="F42" s="14" t="s">
        <v>139</v>
      </c>
      <c r="G42" s="14" t="s">
        <v>140</v>
      </c>
      <c r="H42" s="14" t="s">
        <v>141</v>
      </c>
      <c r="I42" s="14" t="s">
        <v>142</v>
      </c>
      <c r="J42" s="14" t="s">
        <v>143</v>
      </c>
      <c r="K42" s="14" t="s">
        <v>144</v>
      </c>
      <c r="L42" s="14" t="s">
        <v>145</v>
      </c>
      <c r="M42" s="14" t="s">
        <v>146</v>
      </c>
      <c r="N42" s="14" t="s">
        <v>147</v>
      </c>
      <c r="O42" s="15" t="s">
        <v>33</v>
      </c>
      <c r="P42" s="14">
        <v>30</v>
      </c>
      <c r="Q42" s="7" t="s">
        <v>34</v>
      </c>
      <c r="R42" s="14"/>
    </row>
    <row r="43" spans="1:18" ht="54" customHeight="1">
      <c r="A43" s="17" t="s">
        <v>166</v>
      </c>
      <c r="B43" s="22" t="s">
        <v>135</v>
      </c>
      <c r="C43" s="23" t="s">
        <v>136</v>
      </c>
      <c r="D43" s="18" t="s">
        <v>167</v>
      </c>
      <c r="E43" s="19" t="s">
        <v>168</v>
      </c>
      <c r="F43" s="19" t="s">
        <v>139</v>
      </c>
      <c r="G43" s="19" t="s">
        <v>140</v>
      </c>
      <c r="H43" s="19" t="s">
        <v>141</v>
      </c>
      <c r="I43" s="19" t="s">
        <v>142</v>
      </c>
      <c r="J43" s="19" t="s">
        <v>143</v>
      </c>
      <c r="K43" s="19" t="s">
        <v>144</v>
      </c>
      <c r="L43" s="19" t="s">
        <v>145</v>
      </c>
      <c r="M43" s="19" t="s">
        <v>146</v>
      </c>
      <c r="N43" s="19" t="s">
        <v>147</v>
      </c>
      <c r="O43" s="15" t="s">
        <v>33</v>
      </c>
      <c r="P43" s="19">
        <v>30</v>
      </c>
      <c r="Q43" s="7" t="s">
        <v>34</v>
      </c>
      <c r="R43" s="19"/>
    </row>
    <row r="44" spans="1:18" ht="54" customHeight="1">
      <c r="A44" s="9" t="s">
        <v>169</v>
      </c>
      <c r="B44" s="22" t="s">
        <v>135</v>
      </c>
      <c r="C44" s="23" t="s">
        <v>136</v>
      </c>
      <c r="D44" s="13" t="s">
        <v>170</v>
      </c>
      <c r="E44" s="14" t="s">
        <v>171</v>
      </c>
      <c r="F44" s="14" t="s">
        <v>139</v>
      </c>
      <c r="G44" s="14" t="s">
        <v>140</v>
      </c>
      <c r="H44" s="14" t="s">
        <v>141</v>
      </c>
      <c r="I44" s="14" t="s">
        <v>142</v>
      </c>
      <c r="J44" s="14" t="s">
        <v>143</v>
      </c>
      <c r="K44" s="14" t="s">
        <v>144</v>
      </c>
      <c r="L44" s="14" t="s">
        <v>145</v>
      </c>
      <c r="M44" s="14" t="s">
        <v>146</v>
      </c>
      <c r="N44" s="14" t="s">
        <v>147</v>
      </c>
      <c r="O44" s="15" t="s">
        <v>33</v>
      </c>
      <c r="P44" s="14">
        <v>30</v>
      </c>
      <c r="Q44" s="7" t="s">
        <v>34</v>
      </c>
      <c r="R44" s="14"/>
    </row>
    <row r="45" spans="1:18" ht="54" customHeight="1">
      <c r="A45" s="17" t="s">
        <v>172</v>
      </c>
      <c r="B45" s="22" t="s">
        <v>135</v>
      </c>
      <c r="C45" s="23" t="s">
        <v>136</v>
      </c>
      <c r="D45" s="18" t="s">
        <v>173</v>
      </c>
      <c r="E45" s="19" t="s">
        <v>174</v>
      </c>
      <c r="F45" s="19" t="s">
        <v>139</v>
      </c>
      <c r="G45" s="19" t="s">
        <v>140</v>
      </c>
      <c r="H45" s="19" t="s">
        <v>141</v>
      </c>
      <c r="I45" s="19" t="s">
        <v>142</v>
      </c>
      <c r="J45" s="19" t="s">
        <v>143</v>
      </c>
      <c r="K45" s="19" t="s">
        <v>144</v>
      </c>
      <c r="L45" s="19" t="s">
        <v>145</v>
      </c>
      <c r="M45" s="19" t="s">
        <v>146</v>
      </c>
      <c r="N45" s="19" t="s">
        <v>147</v>
      </c>
      <c r="O45" s="15" t="s">
        <v>33</v>
      </c>
      <c r="P45" s="19">
        <v>30</v>
      </c>
      <c r="Q45" s="7" t="s">
        <v>34</v>
      </c>
      <c r="R45" s="19"/>
    </row>
    <row r="46" spans="1:18" ht="54" customHeight="1">
      <c r="A46" s="9" t="s">
        <v>175</v>
      </c>
      <c r="B46" s="22" t="s">
        <v>135</v>
      </c>
      <c r="C46" s="23" t="s">
        <v>136</v>
      </c>
      <c r="D46" s="13" t="s">
        <v>176</v>
      </c>
      <c r="E46" s="14" t="s">
        <v>177</v>
      </c>
      <c r="F46" s="14" t="s">
        <v>139</v>
      </c>
      <c r="G46" s="14" t="s">
        <v>140</v>
      </c>
      <c r="H46" s="14" t="s">
        <v>141</v>
      </c>
      <c r="I46" s="14" t="s">
        <v>142</v>
      </c>
      <c r="J46" s="14" t="s">
        <v>143</v>
      </c>
      <c r="K46" s="14" t="s">
        <v>144</v>
      </c>
      <c r="L46" s="14" t="s">
        <v>145</v>
      </c>
      <c r="M46" s="14" t="s">
        <v>146</v>
      </c>
      <c r="N46" s="14" t="s">
        <v>147</v>
      </c>
      <c r="O46" s="15" t="s">
        <v>33</v>
      </c>
      <c r="P46" s="14">
        <v>30</v>
      </c>
      <c r="Q46" s="7" t="s">
        <v>34</v>
      </c>
      <c r="R46" s="14"/>
    </row>
    <row r="47" spans="1:18" ht="54" customHeight="1">
      <c r="A47" s="17" t="s">
        <v>178</v>
      </c>
      <c r="B47" s="22" t="s">
        <v>135</v>
      </c>
      <c r="C47" s="23" t="s">
        <v>136</v>
      </c>
      <c r="D47" s="18" t="s">
        <v>179</v>
      </c>
      <c r="E47" s="19" t="s">
        <v>180</v>
      </c>
      <c r="F47" s="19" t="s">
        <v>139</v>
      </c>
      <c r="G47" s="19" t="s">
        <v>140</v>
      </c>
      <c r="H47" s="19" t="s">
        <v>141</v>
      </c>
      <c r="I47" s="19" t="s">
        <v>142</v>
      </c>
      <c r="J47" s="19" t="s">
        <v>143</v>
      </c>
      <c r="K47" s="19" t="s">
        <v>144</v>
      </c>
      <c r="L47" s="19" t="s">
        <v>145</v>
      </c>
      <c r="M47" s="19" t="s">
        <v>146</v>
      </c>
      <c r="N47" s="19" t="s">
        <v>147</v>
      </c>
      <c r="O47" s="15" t="s">
        <v>33</v>
      </c>
      <c r="P47" s="19">
        <v>30</v>
      </c>
      <c r="Q47" s="7" t="s">
        <v>34</v>
      </c>
      <c r="R47" s="19"/>
    </row>
    <row r="48" spans="1:18" ht="54" customHeight="1">
      <c r="A48" s="9" t="s">
        <v>181</v>
      </c>
      <c r="B48" s="22" t="s">
        <v>135</v>
      </c>
      <c r="C48" s="23" t="s">
        <v>136</v>
      </c>
      <c r="D48" s="13" t="s">
        <v>182</v>
      </c>
      <c r="E48" s="14" t="s">
        <v>183</v>
      </c>
      <c r="F48" s="14" t="s">
        <v>139</v>
      </c>
      <c r="G48" s="14" t="s">
        <v>140</v>
      </c>
      <c r="H48" s="14" t="s">
        <v>141</v>
      </c>
      <c r="I48" s="14" t="s">
        <v>142</v>
      </c>
      <c r="J48" s="14" t="s">
        <v>143</v>
      </c>
      <c r="K48" s="14" t="s">
        <v>144</v>
      </c>
      <c r="L48" s="14" t="s">
        <v>145</v>
      </c>
      <c r="M48" s="14" t="s">
        <v>146</v>
      </c>
      <c r="N48" s="14" t="s">
        <v>147</v>
      </c>
      <c r="O48" s="15" t="s">
        <v>33</v>
      </c>
      <c r="P48" s="14">
        <v>30</v>
      </c>
      <c r="Q48" s="7" t="s">
        <v>34</v>
      </c>
      <c r="R48" s="14"/>
    </row>
    <row r="49" spans="1:18" ht="54" customHeight="1">
      <c r="A49" s="17" t="s">
        <v>184</v>
      </c>
      <c r="B49" s="22" t="s">
        <v>135</v>
      </c>
      <c r="C49" s="23" t="s">
        <v>136</v>
      </c>
      <c r="D49" s="18" t="s">
        <v>185</v>
      </c>
      <c r="E49" s="19" t="s">
        <v>186</v>
      </c>
      <c r="F49" s="19" t="s">
        <v>139</v>
      </c>
      <c r="G49" s="19" t="s">
        <v>140</v>
      </c>
      <c r="H49" s="19" t="s">
        <v>141</v>
      </c>
      <c r="I49" s="19" t="s">
        <v>142</v>
      </c>
      <c r="J49" s="19" t="s">
        <v>143</v>
      </c>
      <c r="K49" s="19" t="s">
        <v>144</v>
      </c>
      <c r="L49" s="19" t="s">
        <v>145</v>
      </c>
      <c r="M49" s="19" t="s">
        <v>146</v>
      </c>
      <c r="N49" s="19" t="s">
        <v>147</v>
      </c>
      <c r="O49" s="15" t="s">
        <v>33</v>
      </c>
      <c r="P49" s="19">
        <v>30</v>
      </c>
      <c r="Q49" s="7" t="s">
        <v>34</v>
      </c>
      <c r="R49" s="19"/>
    </row>
    <row r="50" spans="1:18" ht="54" customHeight="1">
      <c r="A50" s="9" t="s">
        <v>187</v>
      </c>
      <c r="B50" s="22" t="s">
        <v>135</v>
      </c>
      <c r="C50" s="23" t="s">
        <v>136</v>
      </c>
      <c r="D50" s="13" t="s">
        <v>188</v>
      </c>
      <c r="E50" s="14" t="s">
        <v>189</v>
      </c>
      <c r="F50" s="14" t="s">
        <v>139</v>
      </c>
      <c r="G50" s="14" t="s">
        <v>140</v>
      </c>
      <c r="H50" s="14" t="s">
        <v>141</v>
      </c>
      <c r="I50" s="14" t="s">
        <v>142</v>
      </c>
      <c r="J50" s="14" t="s">
        <v>143</v>
      </c>
      <c r="K50" s="14" t="s">
        <v>144</v>
      </c>
      <c r="L50" s="14" t="s">
        <v>145</v>
      </c>
      <c r="M50" s="14" t="s">
        <v>146</v>
      </c>
      <c r="N50" s="14" t="s">
        <v>147</v>
      </c>
      <c r="O50" s="15" t="s">
        <v>33</v>
      </c>
      <c r="P50" s="14">
        <v>30</v>
      </c>
      <c r="Q50" s="7" t="s">
        <v>34</v>
      </c>
      <c r="R50" s="14"/>
    </row>
    <row r="51" spans="1:18" ht="54" customHeight="1">
      <c r="A51" s="17" t="s">
        <v>190</v>
      </c>
      <c r="B51" s="22" t="s">
        <v>135</v>
      </c>
      <c r="C51" s="23" t="s">
        <v>136</v>
      </c>
      <c r="D51" s="18" t="s">
        <v>191</v>
      </c>
      <c r="E51" s="19" t="s">
        <v>192</v>
      </c>
      <c r="F51" s="19" t="s">
        <v>139</v>
      </c>
      <c r="G51" s="19" t="s">
        <v>140</v>
      </c>
      <c r="H51" s="19" t="s">
        <v>141</v>
      </c>
      <c r="I51" s="19" t="s">
        <v>142</v>
      </c>
      <c r="J51" s="19" t="s">
        <v>143</v>
      </c>
      <c r="K51" s="19" t="s">
        <v>144</v>
      </c>
      <c r="L51" s="19" t="s">
        <v>145</v>
      </c>
      <c r="M51" s="19" t="s">
        <v>146</v>
      </c>
      <c r="N51" s="19" t="s">
        <v>147</v>
      </c>
      <c r="O51" s="15" t="s">
        <v>33</v>
      </c>
      <c r="P51" s="19">
        <v>30</v>
      </c>
      <c r="Q51" s="7" t="s">
        <v>34</v>
      </c>
      <c r="R51" s="19"/>
    </row>
    <row r="52" spans="1:18" ht="54" customHeight="1">
      <c r="A52" s="9" t="s">
        <v>193</v>
      </c>
      <c r="B52" s="22" t="s">
        <v>135</v>
      </c>
      <c r="C52" s="23" t="s">
        <v>136</v>
      </c>
      <c r="D52" s="13" t="s">
        <v>194</v>
      </c>
      <c r="E52" s="14" t="s">
        <v>195</v>
      </c>
      <c r="F52" s="14" t="s">
        <v>139</v>
      </c>
      <c r="G52" s="14" t="s">
        <v>140</v>
      </c>
      <c r="H52" s="14" t="s">
        <v>141</v>
      </c>
      <c r="I52" s="14" t="s">
        <v>142</v>
      </c>
      <c r="J52" s="14" t="s">
        <v>143</v>
      </c>
      <c r="K52" s="14" t="s">
        <v>144</v>
      </c>
      <c r="L52" s="14" t="s">
        <v>145</v>
      </c>
      <c r="M52" s="14" t="s">
        <v>146</v>
      </c>
      <c r="N52" s="14" t="s">
        <v>147</v>
      </c>
      <c r="O52" s="15" t="s">
        <v>33</v>
      </c>
      <c r="P52" s="14">
        <v>30</v>
      </c>
      <c r="Q52" s="7" t="s">
        <v>34</v>
      </c>
      <c r="R52" s="14"/>
    </row>
    <row r="53" spans="1:18" ht="54" customHeight="1">
      <c r="A53" s="17" t="s">
        <v>196</v>
      </c>
      <c r="B53" s="22" t="s">
        <v>135</v>
      </c>
      <c r="C53" s="23" t="s">
        <v>136</v>
      </c>
      <c r="D53" s="18" t="s">
        <v>197</v>
      </c>
      <c r="E53" s="19" t="s">
        <v>198</v>
      </c>
      <c r="F53" s="19" t="s">
        <v>139</v>
      </c>
      <c r="G53" s="19" t="s">
        <v>140</v>
      </c>
      <c r="H53" s="19" t="s">
        <v>141</v>
      </c>
      <c r="I53" s="19" t="s">
        <v>142</v>
      </c>
      <c r="J53" s="19" t="s">
        <v>143</v>
      </c>
      <c r="K53" s="19" t="s">
        <v>144</v>
      </c>
      <c r="L53" s="19" t="s">
        <v>145</v>
      </c>
      <c r="M53" s="19" t="s">
        <v>146</v>
      </c>
      <c r="N53" s="19" t="s">
        <v>147</v>
      </c>
      <c r="O53" s="15" t="s">
        <v>33</v>
      </c>
      <c r="P53" s="19">
        <v>30</v>
      </c>
      <c r="Q53" s="7" t="s">
        <v>34</v>
      </c>
      <c r="R53" s="19"/>
    </row>
    <row r="54" spans="1:18" ht="54" customHeight="1">
      <c r="A54" s="9" t="s">
        <v>199</v>
      </c>
      <c r="B54" s="22" t="s">
        <v>135</v>
      </c>
      <c r="C54" s="23" t="s">
        <v>136</v>
      </c>
      <c r="D54" s="13" t="s">
        <v>200</v>
      </c>
      <c r="E54" s="14" t="s">
        <v>201</v>
      </c>
      <c r="F54" s="14" t="s">
        <v>139</v>
      </c>
      <c r="G54" s="14" t="s">
        <v>140</v>
      </c>
      <c r="H54" s="14" t="s">
        <v>141</v>
      </c>
      <c r="I54" s="14" t="s">
        <v>142</v>
      </c>
      <c r="J54" s="14" t="s">
        <v>143</v>
      </c>
      <c r="K54" s="14" t="s">
        <v>144</v>
      </c>
      <c r="L54" s="14" t="s">
        <v>145</v>
      </c>
      <c r="M54" s="14" t="s">
        <v>146</v>
      </c>
      <c r="N54" s="14" t="s">
        <v>147</v>
      </c>
      <c r="O54" s="15" t="s">
        <v>33</v>
      </c>
      <c r="P54" s="14">
        <v>30</v>
      </c>
      <c r="Q54" s="7" t="s">
        <v>34</v>
      </c>
      <c r="R54" s="14"/>
    </row>
    <row r="55" spans="1:18" ht="54" customHeight="1">
      <c r="A55" s="17" t="s">
        <v>202</v>
      </c>
      <c r="B55" s="22" t="s">
        <v>135</v>
      </c>
      <c r="C55" s="23" t="s">
        <v>136</v>
      </c>
      <c r="D55" s="18" t="s">
        <v>203</v>
      </c>
      <c r="E55" s="19" t="s">
        <v>204</v>
      </c>
      <c r="F55" s="19" t="s">
        <v>139</v>
      </c>
      <c r="G55" s="19" t="s">
        <v>140</v>
      </c>
      <c r="H55" s="19" t="s">
        <v>141</v>
      </c>
      <c r="I55" s="19" t="s">
        <v>142</v>
      </c>
      <c r="J55" s="19" t="s">
        <v>143</v>
      </c>
      <c r="K55" s="19" t="s">
        <v>144</v>
      </c>
      <c r="L55" s="19" t="s">
        <v>145</v>
      </c>
      <c r="M55" s="19" t="s">
        <v>146</v>
      </c>
      <c r="N55" s="19" t="s">
        <v>147</v>
      </c>
      <c r="O55" s="15" t="s">
        <v>33</v>
      </c>
      <c r="P55" s="19">
        <v>30</v>
      </c>
      <c r="Q55" s="7" t="s">
        <v>34</v>
      </c>
      <c r="R55" s="19"/>
    </row>
    <row r="56" spans="1:18" ht="54" customHeight="1">
      <c r="A56" s="9" t="s">
        <v>205</v>
      </c>
      <c r="B56" s="22" t="s">
        <v>135</v>
      </c>
      <c r="C56" s="23" t="s">
        <v>136</v>
      </c>
      <c r="D56" s="13" t="s">
        <v>206</v>
      </c>
      <c r="E56" s="14" t="s">
        <v>207</v>
      </c>
      <c r="F56" s="14" t="s">
        <v>139</v>
      </c>
      <c r="G56" s="14" t="s">
        <v>140</v>
      </c>
      <c r="H56" s="14" t="s">
        <v>141</v>
      </c>
      <c r="I56" s="14" t="s">
        <v>142</v>
      </c>
      <c r="J56" s="14" t="s">
        <v>143</v>
      </c>
      <c r="K56" s="14" t="s">
        <v>144</v>
      </c>
      <c r="L56" s="14" t="s">
        <v>145</v>
      </c>
      <c r="M56" s="14" t="s">
        <v>146</v>
      </c>
      <c r="N56" s="14" t="s">
        <v>147</v>
      </c>
      <c r="O56" s="15" t="s">
        <v>33</v>
      </c>
      <c r="P56" s="14">
        <v>30</v>
      </c>
      <c r="Q56" s="7" t="s">
        <v>34</v>
      </c>
      <c r="R56" s="14"/>
    </row>
    <row r="57" spans="1:18" ht="54" customHeight="1">
      <c r="A57" s="17" t="s">
        <v>208</v>
      </c>
      <c r="B57" s="22" t="s">
        <v>135</v>
      </c>
      <c r="C57" s="23" t="s">
        <v>136</v>
      </c>
      <c r="D57" s="18" t="s">
        <v>209</v>
      </c>
      <c r="E57" s="19" t="s">
        <v>210</v>
      </c>
      <c r="F57" s="19" t="s">
        <v>139</v>
      </c>
      <c r="G57" s="19" t="s">
        <v>140</v>
      </c>
      <c r="H57" s="19" t="s">
        <v>141</v>
      </c>
      <c r="I57" s="19" t="s">
        <v>142</v>
      </c>
      <c r="J57" s="19" t="s">
        <v>143</v>
      </c>
      <c r="K57" s="19" t="s">
        <v>144</v>
      </c>
      <c r="L57" s="19" t="s">
        <v>145</v>
      </c>
      <c r="M57" s="19" t="s">
        <v>146</v>
      </c>
      <c r="N57" s="19" t="s">
        <v>147</v>
      </c>
      <c r="O57" s="15" t="s">
        <v>33</v>
      </c>
      <c r="P57" s="19">
        <v>30</v>
      </c>
      <c r="Q57" s="7" t="s">
        <v>34</v>
      </c>
      <c r="R57" s="19"/>
    </row>
    <row r="58" spans="1:18" ht="54" customHeight="1">
      <c r="A58" s="9" t="s">
        <v>211</v>
      </c>
      <c r="B58" s="22" t="s">
        <v>135</v>
      </c>
      <c r="C58" s="23" t="s">
        <v>136</v>
      </c>
      <c r="D58" s="13" t="s">
        <v>212</v>
      </c>
      <c r="E58" s="14" t="s">
        <v>213</v>
      </c>
      <c r="F58" s="14" t="s">
        <v>139</v>
      </c>
      <c r="G58" s="14" t="s">
        <v>140</v>
      </c>
      <c r="H58" s="14" t="s">
        <v>141</v>
      </c>
      <c r="I58" s="14" t="s">
        <v>142</v>
      </c>
      <c r="J58" s="14" t="s">
        <v>143</v>
      </c>
      <c r="K58" s="14" t="s">
        <v>144</v>
      </c>
      <c r="L58" s="14" t="s">
        <v>145</v>
      </c>
      <c r="M58" s="14" t="s">
        <v>146</v>
      </c>
      <c r="N58" s="14" t="s">
        <v>147</v>
      </c>
      <c r="O58" s="24" t="s">
        <v>64</v>
      </c>
      <c r="P58" s="14">
        <v>30</v>
      </c>
      <c r="Q58" s="7" t="s">
        <v>34</v>
      </c>
      <c r="R58" s="14"/>
    </row>
    <row r="59" spans="1:18" ht="54" customHeight="1">
      <c r="A59" s="17" t="s">
        <v>214</v>
      </c>
      <c r="B59" s="22" t="s">
        <v>135</v>
      </c>
      <c r="C59" s="23" t="s">
        <v>136</v>
      </c>
      <c r="D59" s="18" t="s">
        <v>215</v>
      </c>
      <c r="E59" s="19" t="s">
        <v>216</v>
      </c>
      <c r="F59" s="19" t="s">
        <v>139</v>
      </c>
      <c r="G59" s="19" t="s">
        <v>140</v>
      </c>
      <c r="H59" s="19" t="s">
        <v>141</v>
      </c>
      <c r="I59" s="19" t="s">
        <v>142</v>
      </c>
      <c r="J59" s="19" t="s">
        <v>143</v>
      </c>
      <c r="K59" s="19" t="s">
        <v>144</v>
      </c>
      <c r="L59" s="19" t="s">
        <v>145</v>
      </c>
      <c r="M59" s="19" t="s">
        <v>146</v>
      </c>
      <c r="N59" s="19" t="s">
        <v>147</v>
      </c>
      <c r="O59" s="24" t="s">
        <v>64</v>
      </c>
      <c r="P59" s="19">
        <v>30</v>
      </c>
      <c r="Q59" s="7" t="s">
        <v>34</v>
      </c>
      <c r="R59" s="19"/>
    </row>
    <row r="60" spans="1:18" ht="54" customHeight="1">
      <c r="A60" s="9" t="s">
        <v>217</v>
      </c>
      <c r="B60" s="22" t="s">
        <v>135</v>
      </c>
      <c r="C60" s="23" t="s">
        <v>136</v>
      </c>
      <c r="D60" s="13" t="s">
        <v>218</v>
      </c>
      <c r="E60" s="14" t="s">
        <v>219</v>
      </c>
      <c r="F60" s="14" t="s">
        <v>139</v>
      </c>
      <c r="G60" s="14" t="s">
        <v>140</v>
      </c>
      <c r="H60" s="14" t="s">
        <v>141</v>
      </c>
      <c r="I60" s="14" t="s">
        <v>142</v>
      </c>
      <c r="J60" s="14" t="s">
        <v>143</v>
      </c>
      <c r="K60" s="14" t="s">
        <v>144</v>
      </c>
      <c r="L60" s="14" t="s">
        <v>145</v>
      </c>
      <c r="M60" s="14" t="s">
        <v>146</v>
      </c>
      <c r="N60" s="14" t="s">
        <v>147</v>
      </c>
      <c r="O60" s="24" t="s">
        <v>64</v>
      </c>
      <c r="P60" s="14">
        <v>30</v>
      </c>
      <c r="Q60" s="7" t="s">
        <v>34</v>
      </c>
      <c r="R60" s="14"/>
    </row>
    <row r="61" spans="1:18" ht="54" customHeight="1">
      <c r="A61" s="17" t="s">
        <v>220</v>
      </c>
      <c r="B61" s="22" t="s">
        <v>135</v>
      </c>
      <c r="C61" s="23" t="s">
        <v>136</v>
      </c>
      <c r="D61" s="18" t="s">
        <v>221</v>
      </c>
      <c r="E61" s="19" t="s">
        <v>222</v>
      </c>
      <c r="F61" s="19" t="s">
        <v>139</v>
      </c>
      <c r="G61" s="19" t="s">
        <v>140</v>
      </c>
      <c r="H61" s="19" t="s">
        <v>141</v>
      </c>
      <c r="I61" s="19" t="s">
        <v>142</v>
      </c>
      <c r="J61" s="19" t="s">
        <v>143</v>
      </c>
      <c r="K61" s="19" t="s">
        <v>144</v>
      </c>
      <c r="L61" s="19" t="s">
        <v>145</v>
      </c>
      <c r="M61" s="19" t="s">
        <v>146</v>
      </c>
      <c r="N61" s="19" t="s">
        <v>147</v>
      </c>
      <c r="O61" s="24" t="s">
        <v>64</v>
      </c>
      <c r="P61" s="19">
        <v>30</v>
      </c>
      <c r="Q61" s="7" t="s">
        <v>34</v>
      </c>
      <c r="R61" s="19"/>
    </row>
    <row r="62" spans="1:18" ht="54" customHeight="1">
      <c r="A62" s="9" t="s">
        <v>223</v>
      </c>
      <c r="B62" s="22" t="s">
        <v>135</v>
      </c>
      <c r="C62" s="23" t="s">
        <v>136</v>
      </c>
      <c r="D62" s="13" t="s">
        <v>224</v>
      </c>
      <c r="E62" s="14" t="s">
        <v>225</v>
      </c>
      <c r="F62" s="14" t="s">
        <v>139</v>
      </c>
      <c r="G62" s="14" t="s">
        <v>140</v>
      </c>
      <c r="H62" s="14" t="s">
        <v>141</v>
      </c>
      <c r="I62" s="14" t="s">
        <v>142</v>
      </c>
      <c r="J62" s="14" t="s">
        <v>143</v>
      </c>
      <c r="K62" s="14" t="s">
        <v>144</v>
      </c>
      <c r="L62" s="14" t="s">
        <v>145</v>
      </c>
      <c r="M62" s="14" t="s">
        <v>146</v>
      </c>
      <c r="N62" s="14" t="s">
        <v>147</v>
      </c>
      <c r="O62" s="24" t="s">
        <v>64</v>
      </c>
      <c r="P62" s="14">
        <v>30</v>
      </c>
      <c r="Q62" s="7" t="s">
        <v>34</v>
      </c>
      <c r="R62" s="14"/>
    </row>
    <row r="63" spans="1:18" ht="54" customHeight="1">
      <c r="A63" s="17" t="s">
        <v>226</v>
      </c>
      <c r="B63" s="22" t="s">
        <v>135</v>
      </c>
      <c r="C63" s="23" t="s">
        <v>136</v>
      </c>
      <c r="D63" s="18" t="s">
        <v>227</v>
      </c>
      <c r="E63" s="19" t="s">
        <v>228</v>
      </c>
      <c r="F63" s="19" t="s">
        <v>139</v>
      </c>
      <c r="G63" s="19" t="s">
        <v>140</v>
      </c>
      <c r="H63" s="19" t="s">
        <v>141</v>
      </c>
      <c r="I63" s="19" t="s">
        <v>142</v>
      </c>
      <c r="J63" s="19" t="s">
        <v>143</v>
      </c>
      <c r="K63" s="19" t="s">
        <v>144</v>
      </c>
      <c r="L63" s="19" t="s">
        <v>145</v>
      </c>
      <c r="M63" s="19" t="s">
        <v>146</v>
      </c>
      <c r="N63" s="19" t="s">
        <v>147</v>
      </c>
      <c r="O63" s="24" t="s">
        <v>64</v>
      </c>
      <c r="P63" s="19">
        <v>30</v>
      </c>
      <c r="Q63" s="7" t="s">
        <v>34</v>
      </c>
      <c r="R63" s="19"/>
    </row>
    <row r="64" spans="1:18" ht="54" customHeight="1">
      <c r="A64" s="9" t="s">
        <v>229</v>
      </c>
      <c r="B64" s="25" t="s">
        <v>230</v>
      </c>
      <c r="C64" s="26" t="s">
        <v>231</v>
      </c>
      <c r="D64" s="13" t="s">
        <v>232</v>
      </c>
      <c r="E64" s="14" t="s">
        <v>233</v>
      </c>
      <c r="F64" s="14" t="s">
        <v>234</v>
      </c>
      <c r="G64" s="14" t="s">
        <v>235</v>
      </c>
      <c r="H64" s="14" t="s">
        <v>236</v>
      </c>
      <c r="I64" s="14" t="s">
        <v>237</v>
      </c>
      <c r="J64" s="14" t="s">
        <v>238</v>
      </c>
      <c r="K64" s="14" t="s">
        <v>239</v>
      </c>
      <c r="L64" s="14" t="s">
        <v>240</v>
      </c>
      <c r="M64" s="14" t="s">
        <v>241</v>
      </c>
      <c r="N64" s="14" t="s">
        <v>242</v>
      </c>
      <c r="O64" s="15" t="s">
        <v>33</v>
      </c>
      <c r="P64" s="14">
        <v>45</v>
      </c>
      <c r="Q64" s="7" t="s">
        <v>34</v>
      </c>
      <c r="R64" s="14"/>
    </row>
    <row r="65" spans="1:18" ht="54" customHeight="1">
      <c r="A65" s="17" t="s">
        <v>243</v>
      </c>
      <c r="B65" s="25" t="s">
        <v>230</v>
      </c>
      <c r="C65" s="26" t="s">
        <v>231</v>
      </c>
      <c r="D65" s="18" t="s">
        <v>244</v>
      </c>
      <c r="E65" s="19" t="s">
        <v>245</v>
      </c>
      <c r="F65" s="19" t="s">
        <v>234</v>
      </c>
      <c r="G65" s="19" t="s">
        <v>235</v>
      </c>
      <c r="H65" s="19" t="s">
        <v>246</v>
      </c>
      <c r="I65" s="19" t="s">
        <v>247</v>
      </c>
      <c r="J65" s="19" t="s">
        <v>248</v>
      </c>
      <c r="K65" s="19" t="s">
        <v>249</v>
      </c>
      <c r="L65" s="19" t="s">
        <v>250</v>
      </c>
      <c r="M65" s="19" t="s">
        <v>251</v>
      </c>
      <c r="N65" s="19" t="s">
        <v>252</v>
      </c>
      <c r="O65" s="15" t="s">
        <v>33</v>
      </c>
      <c r="P65" s="19">
        <v>45</v>
      </c>
      <c r="Q65" s="7" t="s">
        <v>34</v>
      </c>
      <c r="R65" s="19"/>
    </row>
    <row r="66" spans="1:18" ht="54" customHeight="1">
      <c r="A66" s="9" t="s">
        <v>253</v>
      </c>
      <c r="B66" s="15" t="s">
        <v>254</v>
      </c>
      <c r="C66" s="26" t="s">
        <v>255</v>
      </c>
      <c r="D66" s="13" t="s">
        <v>256</v>
      </c>
      <c r="E66" s="14" t="s">
        <v>257</v>
      </c>
      <c r="F66" s="14" t="s">
        <v>258</v>
      </c>
      <c r="G66" s="14" t="s">
        <v>259</v>
      </c>
      <c r="H66" s="14" t="s">
        <v>260</v>
      </c>
      <c r="I66" s="14" t="s">
        <v>261</v>
      </c>
      <c r="J66" s="14" t="s">
        <v>262</v>
      </c>
      <c r="K66" s="14" t="s">
        <v>263</v>
      </c>
      <c r="L66" s="14" t="s">
        <v>264</v>
      </c>
      <c r="M66" s="14" t="s">
        <v>265</v>
      </c>
      <c r="N66" s="14" t="s">
        <v>266</v>
      </c>
      <c r="O66" s="15" t="s">
        <v>33</v>
      </c>
      <c r="P66" s="14">
        <v>30</v>
      </c>
      <c r="Q66" s="7" t="s">
        <v>34</v>
      </c>
      <c r="R66" s="14"/>
    </row>
    <row r="67" spans="1:18" ht="54" customHeight="1">
      <c r="A67" s="17" t="s">
        <v>267</v>
      </c>
      <c r="B67" s="15" t="s">
        <v>254</v>
      </c>
      <c r="C67" s="26" t="s">
        <v>255</v>
      </c>
      <c r="D67" s="18" t="s">
        <v>268</v>
      </c>
      <c r="E67" s="19" t="s">
        <v>269</v>
      </c>
      <c r="F67" s="19" t="s">
        <v>258</v>
      </c>
      <c r="G67" s="19" t="s">
        <v>259</v>
      </c>
      <c r="H67" s="19" t="s">
        <v>260</v>
      </c>
      <c r="I67" s="19" t="s">
        <v>261</v>
      </c>
      <c r="J67" s="19" t="s">
        <v>262</v>
      </c>
      <c r="K67" s="19" t="s">
        <v>263</v>
      </c>
      <c r="L67" s="19" t="s">
        <v>270</v>
      </c>
      <c r="M67" s="19" t="s">
        <v>271</v>
      </c>
      <c r="N67" s="19" t="s">
        <v>272</v>
      </c>
      <c r="O67" s="15" t="s">
        <v>33</v>
      </c>
      <c r="P67" s="19">
        <v>30</v>
      </c>
      <c r="Q67" s="7" t="s">
        <v>34</v>
      </c>
      <c r="R67" s="19"/>
    </row>
    <row r="68" spans="1:18" ht="54" customHeight="1">
      <c r="A68" s="9" t="s">
        <v>273</v>
      </c>
      <c r="B68" s="15" t="s">
        <v>274</v>
      </c>
      <c r="C68" s="27" t="s">
        <v>275</v>
      </c>
      <c r="D68" s="13" t="s">
        <v>276</v>
      </c>
      <c r="E68" s="14" t="s">
        <v>277</v>
      </c>
      <c r="F68" s="14" t="s">
        <v>278</v>
      </c>
      <c r="G68" s="14" t="s">
        <v>279</v>
      </c>
      <c r="H68" s="14" t="s">
        <v>280</v>
      </c>
      <c r="I68" s="14" t="s">
        <v>281</v>
      </c>
      <c r="J68" s="14" t="s">
        <v>282</v>
      </c>
      <c r="K68" s="14" t="s">
        <v>283</v>
      </c>
      <c r="L68" s="14" t="s">
        <v>284</v>
      </c>
      <c r="M68" s="14" t="s">
        <v>285</v>
      </c>
      <c r="N68" s="14" t="s">
        <v>286</v>
      </c>
      <c r="O68" s="15" t="s">
        <v>33</v>
      </c>
      <c r="P68" s="14">
        <v>45</v>
      </c>
      <c r="Q68" s="7" t="s">
        <v>34</v>
      </c>
      <c r="R68" s="14"/>
    </row>
    <row r="69" spans="1:18" ht="54" customHeight="1">
      <c r="A69" s="17" t="s">
        <v>287</v>
      </c>
      <c r="B69" s="15" t="s">
        <v>274</v>
      </c>
      <c r="C69" s="27" t="s">
        <v>275</v>
      </c>
      <c r="D69" s="18" t="s">
        <v>288</v>
      </c>
      <c r="E69" s="19" t="s">
        <v>289</v>
      </c>
      <c r="F69" s="19" t="s">
        <v>290</v>
      </c>
      <c r="G69" s="19" t="s">
        <v>291</v>
      </c>
      <c r="H69" s="19" t="s">
        <v>292</v>
      </c>
      <c r="I69" s="19" t="s">
        <v>293</v>
      </c>
      <c r="J69" s="19" t="s">
        <v>294</v>
      </c>
      <c r="K69" s="19" t="s">
        <v>295</v>
      </c>
      <c r="L69" s="19" t="s">
        <v>296</v>
      </c>
      <c r="M69" s="19" t="s">
        <v>297</v>
      </c>
      <c r="N69" s="19" t="s">
        <v>298</v>
      </c>
      <c r="O69" s="15" t="s">
        <v>33</v>
      </c>
      <c r="P69" s="19">
        <v>20</v>
      </c>
      <c r="Q69" s="7" t="s">
        <v>34</v>
      </c>
      <c r="R69" s="19"/>
    </row>
    <row r="70" spans="1:18" ht="54" customHeight="1">
      <c r="A70" s="9" t="s">
        <v>299</v>
      </c>
      <c r="B70" s="15" t="s">
        <v>300</v>
      </c>
      <c r="C70" s="12" t="s">
        <v>301</v>
      </c>
      <c r="D70" s="13" t="s">
        <v>302</v>
      </c>
      <c r="E70" s="14" t="s">
        <v>303</v>
      </c>
      <c r="F70" s="14" t="s">
        <v>304</v>
      </c>
      <c r="G70" s="14" t="s">
        <v>305</v>
      </c>
      <c r="H70" s="14" t="s">
        <v>306</v>
      </c>
      <c r="I70" s="14" t="s">
        <v>307</v>
      </c>
      <c r="J70" s="14" t="s">
        <v>308</v>
      </c>
      <c r="K70" s="14" t="s">
        <v>309</v>
      </c>
      <c r="L70" s="14" t="s">
        <v>310</v>
      </c>
      <c r="M70" s="14" t="s">
        <v>311</v>
      </c>
      <c r="N70" s="14" t="s">
        <v>312</v>
      </c>
      <c r="O70" s="15" t="s">
        <v>33</v>
      </c>
      <c r="P70" s="14">
        <v>45</v>
      </c>
      <c r="Q70" s="7" t="s">
        <v>34</v>
      </c>
      <c r="R70" s="14"/>
    </row>
    <row r="71" spans="1:18" ht="54" customHeight="1">
      <c r="A71" s="17" t="s">
        <v>313</v>
      </c>
      <c r="B71" s="15" t="s">
        <v>300</v>
      </c>
      <c r="C71" s="12" t="s">
        <v>301</v>
      </c>
      <c r="D71" s="18" t="s">
        <v>314</v>
      </c>
      <c r="E71" s="19" t="s">
        <v>315</v>
      </c>
      <c r="F71" s="19" t="s">
        <v>304</v>
      </c>
      <c r="G71" s="19" t="s">
        <v>305</v>
      </c>
      <c r="H71" s="19" t="s">
        <v>306</v>
      </c>
      <c r="I71" s="19" t="s">
        <v>307</v>
      </c>
      <c r="J71" s="19" t="s">
        <v>316</v>
      </c>
      <c r="K71" s="19" t="s">
        <v>317</v>
      </c>
      <c r="L71" s="19" t="s">
        <v>318</v>
      </c>
      <c r="M71" s="19" t="s">
        <v>319</v>
      </c>
      <c r="N71" s="19" t="s">
        <v>320</v>
      </c>
      <c r="O71" s="24" t="s">
        <v>64</v>
      </c>
      <c r="P71" s="19">
        <v>60</v>
      </c>
      <c r="Q71" s="7" t="s">
        <v>53</v>
      </c>
      <c r="R71" s="19"/>
    </row>
    <row r="72" spans="1:18" ht="54" customHeight="1">
      <c r="A72" s="9" t="s">
        <v>321</v>
      </c>
      <c r="B72" s="15" t="s">
        <v>322</v>
      </c>
      <c r="C72" s="12" t="s">
        <v>301</v>
      </c>
      <c r="D72" s="13" t="s">
        <v>323</v>
      </c>
      <c r="E72" s="14" t="s">
        <v>324</v>
      </c>
      <c r="F72" s="14" t="s">
        <v>325</v>
      </c>
      <c r="G72" s="14" t="s">
        <v>326</v>
      </c>
      <c r="H72" s="14" t="s">
        <v>327</v>
      </c>
      <c r="I72" s="14" t="s">
        <v>328</v>
      </c>
      <c r="J72" s="14" t="s">
        <v>329</v>
      </c>
      <c r="K72" s="14" t="s">
        <v>330</v>
      </c>
      <c r="L72" s="14" t="s">
        <v>331</v>
      </c>
      <c r="M72" s="14" t="s">
        <v>332</v>
      </c>
      <c r="N72" s="14" t="s">
        <v>333</v>
      </c>
      <c r="O72" s="15" t="s">
        <v>33</v>
      </c>
      <c r="P72" s="14">
        <v>30</v>
      </c>
      <c r="Q72" s="7" t="s">
        <v>34</v>
      </c>
      <c r="R72" s="14"/>
    </row>
    <row r="73" spans="1:18" ht="54" customHeight="1">
      <c r="A73" s="17" t="s">
        <v>334</v>
      </c>
      <c r="B73" s="15" t="s">
        <v>335</v>
      </c>
      <c r="C73" s="12" t="s">
        <v>336</v>
      </c>
      <c r="D73" s="18" t="s">
        <v>337</v>
      </c>
      <c r="E73" s="19" t="s">
        <v>338</v>
      </c>
      <c r="F73" s="19" t="s">
        <v>339</v>
      </c>
      <c r="G73" s="19" t="s">
        <v>340</v>
      </c>
      <c r="H73" s="19" t="s">
        <v>341</v>
      </c>
      <c r="I73" s="19" t="s">
        <v>342</v>
      </c>
      <c r="J73" s="19" t="s">
        <v>343</v>
      </c>
      <c r="K73" s="19" t="s">
        <v>344</v>
      </c>
      <c r="L73" s="19" t="s">
        <v>345</v>
      </c>
      <c r="M73" s="19" t="s">
        <v>346</v>
      </c>
      <c r="N73" s="19" t="s">
        <v>347</v>
      </c>
      <c r="O73" s="15" t="s">
        <v>33</v>
      </c>
      <c r="P73" s="19">
        <v>30</v>
      </c>
      <c r="Q73" s="7" t="s">
        <v>34</v>
      </c>
      <c r="R73" s="19"/>
    </row>
    <row r="74" spans="1:18" ht="54" customHeight="1">
      <c r="A74" s="9" t="s">
        <v>348</v>
      </c>
      <c r="B74" s="15" t="s">
        <v>335</v>
      </c>
      <c r="C74" s="12" t="s">
        <v>336</v>
      </c>
      <c r="D74" s="13" t="s">
        <v>349</v>
      </c>
      <c r="E74" s="14" t="s">
        <v>350</v>
      </c>
      <c r="F74" s="14" t="s">
        <v>339</v>
      </c>
      <c r="G74" s="14" t="s">
        <v>351</v>
      </c>
      <c r="H74" s="14" t="s">
        <v>352</v>
      </c>
      <c r="I74" s="14" t="s">
        <v>353</v>
      </c>
      <c r="J74" s="14" t="s">
        <v>354</v>
      </c>
      <c r="K74" s="14" t="s">
        <v>355</v>
      </c>
      <c r="L74" s="14" t="s">
        <v>356</v>
      </c>
      <c r="M74" s="14" t="s">
        <v>357</v>
      </c>
      <c r="N74" s="14" t="s">
        <v>358</v>
      </c>
      <c r="O74" s="15" t="s">
        <v>33</v>
      </c>
      <c r="P74" s="14">
        <v>60</v>
      </c>
      <c r="Q74" s="7" t="s">
        <v>34</v>
      </c>
      <c r="R74" s="14"/>
    </row>
    <row r="75" spans="1:18" ht="54" customHeight="1">
      <c r="A75" s="17" t="s">
        <v>359</v>
      </c>
      <c r="B75" s="15" t="s">
        <v>335</v>
      </c>
      <c r="C75" s="12" t="s">
        <v>336</v>
      </c>
      <c r="D75" s="18" t="s">
        <v>360</v>
      </c>
      <c r="E75" s="19" t="s">
        <v>361</v>
      </c>
      <c r="F75" s="19" t="s">
        <v>339</v>
      </c>
      <c r="G75" s="19" t="s">
        <v>362</v>
      </c>
      <c r="H75" s="19" t="s">
        <v>363</v>
      </c>
      <c r="I75" s="19" t="s">
        <v>364</v>
      </c>
      <c r="J75" s="19" t="s">
        <v>365</v>
      </c>
      <c r="K75" s="19" t="s">
        <v>366</v>
      </c>
      <c r="L75" s="19" t="s">
        <v>367</v>
      </c>
      <c r="M75" s="19" t="s">
        <v>368</v>
      </c>
      <c r="N75" s="19" t="s">
        <v>369</v>
      </c>
      <c r="O75" s="15" t="s">
        <v>33</v>
      </c>
      <c r="P75" s="19">
        <v>60</v>
      </c>
      <c r="Q75" s="7" t="s">
        <v>34</v>
      </c>
      <c r="R75" s="19"/>
    </row>
    <row r="76" spans="1:18" ht="15.75" customHeight="1">
      <c r="O76" s="16"/>
      <c r="Q76" s="16"/>
    </row>
    <row r="77" spans="1:18" ht="15.75" customHeight="1">
      <c r="O77" s="16"/>
      <c r="Q77" s="16"/>
    </row>
    <row r="78" spans="1:18" ht="15.75" customHeight="1">
      <c r="O78" s="16"/>
      <c r="Q78" s="16"/>
    </row>
    <row r="79" spans="1:18" ht="15.75" customHeight="1">
      <c r="O79" s="16"/>
      <c r="Q79" s="16"/>
    </row>
    <row r="80" spans="1:18" ht="15.75" customHeight="1">
      <c r="O80" s="16"/>
      <c r="Q80" s="16"/>
    </row>
    <row r="81" spans="15:17" ht="15.75" customHeight="1">
      <c r="O81" s="16"/>
      <c r="Q81" s="16"/>
    </row>
    <row r="82" spans="15:17" ht="15.75" customHeight="1">
      <c r="O82" s="16"/>
      <c r="Q82" s="16"/>
    </row>
    <row r="83" spans="15:17" ht="15.75" customHeight="1">
      <c r="O83" s="16"/>
      <c r="Q83" s="16"/>
    </row>
    <row r="84" spans="15:17" ht="15.75" customHeight="1">
      <c r="O84" s="16"/>
      <c r="Q84" s="16"/>
    </row>
    <row r="85" spans="15:17" ht="15.75" customHeight="1">
      <c r="O85" s="16"/>
      <c r="Q85" s="16"/>
    </row>
    <row r="86" spans="15:17" ht="15.75" customHeight="1">
      <c r="O86" s="16"/>
      <c r="Q86" s="16"/>
    </row>
    <row r="87" spans="15:17" ht="15.75" customHeight="1">
      <c r="O87" s="16"/>
      <c r="Q87" s="16"/>
    </row>
    <row r="88" spans="15:17" ht="15.75" customHeight="1">
      <c r="O88" s="16"/>
      <c r="Q88" s="16"/>
    </row>
    <row r="89" spans="15:17" ht="15.75" customHeight="1">
      <c r="O89" s="16"/>
      <c r="Q89" s="16"/>
    </row>
    <row r="90" spans="15:17" ht="15.75" customHeight="1">
      <c r="O90" s="16"/>
      <c r="Q90" s="16"/>
    </row>
    <row r="91" spans="15:17" ht="15.75" customHeight="1">
      <c r="O91" s="16"/>
      <c r="Q91" s="16"/>
    </row>
    <row r="92" spans="15:17" ht="15.75" customHeight="1">
      <c r="O92" s="16"/>
      <c r="Q92" s="16"/>
    </row>
    <row r="93" spans="15:17" ht="15.75" customHeight="1">
      <c r="O93" s="16"/>
      <c r="Q93" s="16"/>
    </row>
    <row r="94" spans="15:17" ht="15.75" customHeight="1">
      <c r="O94" s="16"/>
      <c r="Q94" s="16"/>
    </row>
    <row r="95" spans="15:17" ht="15.75" customHeight="1">
      <c r="O95" s="16"/>
      <c r="Q95" s="16"/>
    </row>
    <row r="96" spans="15:17" ht="15.75" customHeight="1">
      <c r="O96" s="16"/>
      <c r="Q96" s="16"/>
    </row>
    <row r="97" spans="15:17" ht="15.75" customHeight="1">
      <c r="O97" s="16"/>
      <c r="Q97" s="16"/>
    </row>
    <row r="98" spans="15:17" ht="15.75" customHeight="1">
      <c r="O98" s="16"/>
      <c r="Q98" s="16"/>
    </row>
    <row r="99" spans="15:17" ht="15.75" customHeight="1">
      <c r="O99" s="16"/>
      <c r="Q99" s="16"/>
    </row>
    <row r="100" spans="15:17" ht="15.75" customHeight="1">
      <c r="O100" s="16"/>
      <c r="Q100" s="16"/>
    </row>
    <row r="101" spans="15:17" ht="15.75" customHeight="1">
      <c r="O101" s="16"/>
      <c r="Q101" s="16"/>
    </row>
    <row r="102" spans="15:17" ht="15.75" customHeight="1">
      <c r="O102" s="16"/>
      <c r="Q102" s="16"/>
    </row>
    <row r="103" spans="15:17" ht="15.75" customHeight="1">
      <c r="O103" s="16"/>
      <c r="Q103" s="16"/>
    </row>
    <row r="104" spans="15:17" ht="15.75" customHeight="1">
      <c r="O104" s="16"/>
      <c r="Q104" s="16"/>
    </row>
    <row r="105" spans="15:17" ht="15.75" customHeight="1">
      <c r="O105" s="16"/>
      <c r="Q105" s="16"/>
    </row>
    <row r="106" spans="15:17" ht="15.75" customHeight="1">
      <c r="O106" s="16"/>
      <c r="Q106" s="16"/>
    </row>
    <row r="107" spans="15:17" ht="15.75" customHeight="1">
      <c r="O107" s="16"/>
      <c r="Q107" s="16"/>
    </row>
    <row r="108" spans="15:17" ht="15.75" customHeight="1">
      <c r="O108" s="16"/>
      <c r="Q108" s="16"/>
    </row>
    <row r="109" spans="15:17" ht="15.75" customHeight="1">
      <c r="O109" s="16"/>
      <c r="Q109" s="16"/>
    </row>
    <row r="110" spans="15:17" ht="15.75" customHeight="1">
      <c r="O110" s="16"/>
      <c r="Q110" s="16"/>
    </row>
    <row r="111" spans="15:17" ht="15.75" customHeight="1">
      <c r="O111" s="16"/>
      <c r="Q111" s="16"/>
    </row>
    <row r="112" spans="15:17" ht="15.75" customHeight="1">
      <c r="O112" s="16"/>
      <c r="Q112" s="16"/>
    </row>
    <row r="113" spans="15:17" ht="15.75" customHeight="1">
      <c r="O113" s="16"/>
      <c r="Q113" s="16"/>
    </row>
    <row r="114" spans="15:17" ht="15.75" customHeight="1">
      <c r="O114" s="16"/>
      <c r="Q114" s="16"/>
    </row>
    <row r="115" spans="15:17" ht="15.75" customHeight="1">
      <c r="O115" s="16"/>
      <c r="Q115" s="16"/>
    </row>
    <row r="116" spans="15:17" ht="15.75" customHeight="1">
      <c r="O116" s="16"/>
      <c r="Q116" s="16"/>
    </row>
    <row r="117" spans="15:17" ht="15.75" customHeight="1">
      <c r="O117" s="16"/>
      <c r="Q117" s="16"/>
    </row>
    <row r="118" spans="15:17" ht="15.75" customHeight="1">
      <c r="O118" s="16"/>
      <c r="Q118" s="16"/>
    </row>
    <row r="119" spans="15:17" ht="15.75" customHeight="1">
      <c r="O119" s="16"/>
      <c r="Q119" s="16"/>
    </row>
    <row r="120" spans="15:17" ht="15.75" customHeight="1">
      <c r="O120" s="16"/>
      <c r="Q120" s="16"/>
    </row>
    <row r="121" spans="15:17" ht="15.75" customHeight="1">
      <c r="O121" s="16"/>
      <c r="Q121" s="16"/>
    </row>
    <row r="122" spans="15:17" ht="15.75" customHeight="1">
      <c r="O122" s="16"/>
      <c r="Q122" s="16"/>
    </row>
    <row r="123" spans="15:17" ht="15.75" customHeight="1">
      <c r="O123" s="16"/>
      <c r="Q123" s="16"/>
    </row>
    <row r="124" spans="15:17" ht="15.75" customHeight="1">
      <c r="O124" s="16"/>
      <c r="Q124" s="16"/>
    </row>
    <row r="125" spans="15:17" ht="15.75" customHeight="1">
      <c r="O125" s="16"/>
      <c r="Q125" s="16"/>
    </row>
    <row r="126" spans="15:17" ht="15.75" customHeight="1">
      <c r="O126" s="16"/>
      <c r="Q126" s="16"/>
    </row>
    <row r="127" spans="15:17" ht="15.75" customHeight="1">
      <c r="O127" s="16"/>
      <c r="Q127" s="16"/>
    </row>
    <row r="128" spans="15:17" ht="15.75" customHeight="1">
      <c r="O128" s="16"/>
      <c r="Q128" s="16"/>
    </row>
    <row r="129" spans="15:17" ht="15.75" customHeight="1">
      <c r="O129" s="16"/>
      <c r="Q129" s="16"/>
    </row>
    <row r="130" spans="15:17" ht="15.75" customHeight="1">
      <c r="O130" s="16"/>
      <c r="Q130" s="16"/>
    </row>
    <row r="131" spans="15:17" ht="15.75" customHeight="1">
      <c r="O131" s="16"/>
      <c r="Q131" s="16"/>
    </row>
    <row r="132" spans="15:17" ht="15.75" customHeight="1">
      <c r="O132" s="16"/>
      <c r="Q132" s="16"/>
    </row>
    <row r="133" spans="15:17" ht="15.75" customHeight="1">
      <c r="O133" s="16"/>
      <c r="Q133" s="16"/>
    </row>
    <row r="134" spans="15:17" ht="15.75" customHeight="1">
      <c r="O134" s="16"/>
      <c r="Q134" s="16"/>
    </row>
    <row r="135" spans="15:17" ht="15.75" customHeight="1">
      <c r="O135" s="16"/>
      <c r="Q135" s="16"/>
    </row>
    <row r="136" spans="15:17" ht="15.75" customHeight="1">
      <c r="O136" s="16"/>
      <c r="Q136" s="16"/>
    </row>
    <row r="137" spans="15:17" ht="15.75" customHeight="1">
      <c r="O137" s="16"/>
      <c r="Q137" s="16"/>
    </row>
    <row r="138" spans="15:17" ht="15.75" customHeight="1">
      <c r="O138" s="16"/>
      <c r="Q138" s="16"/>
    </row>
    <row r="139" spans="15:17" ht="15.75" customHeight="1">
      <c r="O139" s="16"/>
      <c r="Q139" s="16"/>
    </row>
    <row r="140" spans="15:17" ht="15.75" customHeight="1">
      <c r="O140" s="16"/>
      <c r="Q140" s="16"/>
    </row>
    <row r="141" spans="15:17" ht="15.75" customHeight="1">
      <c r="O141" s="16"/>
      <c r="Q141" s="16"/>
    </row>
    <row r="142" spans="15:17" ht="15.75" customHeight="1">
      <c r="O142" s="16"/>
      <c r="Q142" s="16"/>
    </row>
    <row r="143" spans="15:17" ht="15.75" customHeight="1">
      <c r="O143" s="16"/>
      <c r="Q143" s="16"/>
    </row>
    <row r="144" spans="15:17" ht="15.75" customHeight="1">
      <c r="O144" s="16"/>
      <c r="Q144" s="16"/>
    </row>
    <row r="145" spans="15:17" ht="15.75" customHeight="1">
      <c r="O145" s="16"/>
      <c r="Q145" s="16"/>
    </row>
    <row r="146" spans="15:17" ht="15.75" customHeight="1">
      <c r="O146" s="16"/>
      <c r="Q146" s="16"/>
    </row>
    <row r="147" spans="15:17" ht="15.75" customHeight="1">
      <c r="O147" s="16"/>
      <c r="Q147" s="16"/>
    </row>
    <row r="148" spans="15:17" ht="15.75" customHeight="1">
      <c r="O148" s="16"/>
      <c r="Q148" s="16"/>
    </row>
    <row r="149" spans="15:17" ht="15.75" customHeight="1">
      <c r="O149" s="16"/>
      <c r="Q149" s="16"/>
    </row>
    <row r="150" spans="15:17" ht="15.75" customHeight="1">
      <c r="O150" s="16"/>
      <c r="Q150" s="16"/>
    </row>
    <row r="151" spans="15:17" ht="15.75" customHeight="1">
      <c r="O151" s="16"/>
      <c r="Q151" s="16"/>
    </row>
    <row r="152" spans="15:17" ht="15.75" customHeight="1">
      <c r="O152" s="16"/>
      <c r="Q152" s="16"/>
    </row>
    <row r="153" spans="15:17" ht="15.75" customHeight="1">
      <c r="O153" s="16"/>
      <c r="Q153" s="16"/>
    </row>
    <row r="154" spans="15:17" ht="15.75" customHeight="1">
      <c r="O154" s="16"/>
      <c r="Q154" s="16"/>
    </row>
    <row r="155" spans="15:17" ht="15.75" customHeight="1">
      <c r="O155" s="16"/>
      <c r="Q155" s="16"/>
    </row>
    <row r="156" spans="15:17" ht="15.75" customHeight="1">
      <c r="O156" s="16"/>
      <c r="Q156" s="16"/>
    </row>
    <row r="157" spans="15:17" ht="15.75" customHeight="1">
      <c r="O157" s="16"/>
      <c r="Q157" s="16"/>
    </row>
    <row r="158" spans="15:17" ht="15.75" customHeight="1">
      <c r="O158" s="16"/>
      <c r="Q158" s="16"/>
    </row>
    <row r="159" spans="15:17" ht="15.75" customHeight="1">
      <c r="O159" s="16"/>
      <c r="Q159" s="16"/>
    </row>
    <row r="160" spans="15:17" ht="15.75" customHeight="1">
      <c r="O160" s="16"/>
      <c r="Q160" s="16"/>
    </row>
    <row r="161" spans="15:17" ht="15.75" customHeight="1">
      <c r="O161" s="16"/>
      <c r="Q161" s="16"/>
    </row>
    <row r="162" spans="15:17" ht="15.75" customHeight="1">
      <c r="O162" s="16"/>
      <c r="Q162" s="16"/>
    </row>
    <row r="163" spans="15:17" ht="15.75" customHeight="1">
      <c r="O163" s="16"/>
      <c r="Q163" s="16"/>
    </row>
    <row r="164" spans="15:17" ht="15.75" customHeight="1">
      <c r="O164" s="16"/>
      <c r="Q164" s="16"/>
    </row>
    <row r="165" spans="15:17" ht="15.75" customHeight="1">
      <c r="O165" s="16"/>
      <c r="Q165" s="16"/>
    </row>
    <row r="166" spans="15:17" ht="15.75" customHeight="1">
      <c r="O166" s="16"/>
      <c r="Q166" s="16"/>
    </row>
    <row r="167" spans="15:17" ht="15.75" customHeight="1">
      <c r="O167" s="16"/>
      <c r="Q167" s="16"/>
    </row>
    <row r="168" spans="15:17" ht="15.75" customHeight="1">
      <c r="O168" s="16"/>
      <c r="Q168" s="16"/>
    </row>
    <row r="169" spans="15:17" ht="15.75" customHeight="1">
      <c r="O169" s="16"/>
      <c r="Q169" s="16"/>
    </row>
    <row r="170" spans="15:17" ht="15.75" customHeight="1">
      <c r="O170" s="16"/>
      <c r="Q170" s="16"/>
    </row>
    <row r="171" spans="15:17" ht="15.75" customHeight="1">
      <c r="O171" s="16"/>
      <c r="Q171" s="16"/>
    </row>
    <row r="172" spans="15:17" ht="15.75" customHeight="1">
      <c r="O172" s="16"/>
      <c r="Q172" s="16"/>
    </row>
    <row r="173" spans="15:17" ht="15.75" customHeight="1">
      <c r="O173" s="16"/>
      <c r="Q173" s="16"/>
    </row>
    <row r="174" spans="15:17" ht="15.75" customHeight="1">
      <c r="O174" s="16"/>
      <c r="Q174" s="16"/>
    </row>
    <row r="175" spans="15:17" ht="15.75" customHeight="1">
      <c r="O175" s="16"/>
      <c r="Q175" s="16"/>
    </row>
    <row r="176" spans="15:17" ht="15.75" customHeight="1">
      <c r="O176" s="16"/>
      <c r="Q176" s="16"/>
    </row>
    <row r="177" spans="15:17" ht="15.75" customHeight="1">
      <c r="O177" s="16"/>
      <c r="Q177" s="16"/>
    </row>
    <row r="178" spans="15:17" ht="15.75" customHeight="1">
      <c r="O178" s="16"/>
      <c r="Q178" s="16"/>
    </row>
    <row r="179" spans="15:17" ht="15.75" customHeight="1">
      <c r="O179" s="16"/>
      <c r="Q179" s="16"/>
    </row>
    <row r="180" spans="15:17" ht="15.75" customHeight="1">
      <c r="O180" s="16"/>
      <c r="Q180" s="16"/>
    </row>
    <row r="181" spans="15:17" ht="15.75" customHeight="1">
      <c r="O181" s="16"/>
      <c r="Q181" s="16"/>
    </row>
    <row r="182" spans="15:17" ht="15.75" customHeight="1">
      <c r="O182" s="16"/>
      <c r="Q182" s="16"/>
    </row>
    <row r="183" spans="15:17" ht="15.75" customHeight="1">
      <c r="O183" s="16"/>
      <c r="Q183" s="16"/>
    </row>
    <row r="184" spans="15:17" ht="15.75" customHeight="1">
      <c r="O184" s="16"/>
      <c r="Q184" s="16"/>
    </row>
    <row r="185" spans="15:17" ht="15.75" customHeight="1">
      <c r="O185" s="16"/>
      <c r="Q185" s="16"/>
    </row>
    <row r="186" spans="15:17" ht="15.75" customHeight="1">
      <c r="O186" s="16"/>
      <c r="Q186" s="16"/>
    </row>
    <row r="187" spans="15:17" ht="15.75" customHeight="1">
      <c r="O187" s="16"/>
      <c r="Q187" s="16"/>
    </row>
    <row r="188" spans="15:17" ht="15.75" customHeight="1">
      <c r="O188" s="16"/>
      <c r="Q188" s="16"/>
    </row>
    <row r="189" spans="15:17" ht="15.75" customHeight="1">
      <c r="O189" s="16"/>
      <c r="Q189" s="16"/>
    </row>
    <row r="190" spans="15:17" ht="15.75" customHeight="1">
      <c r="O190" s="16"/>
      <c r="Q190" s="16"/>
    </row>
    <row r="191" spans="15:17" ht="15.75" customHeight="1">
      <c r="O191" s="16"/>
      <c r="Q191" s="16"/>
    </row>
    <row r="192" spans="15:17" ht="15.75" customHeight="1">
      <c r="O192" s="16"/>
      <c r="Q192" s="16"/>
    </row>
    <row r="193" spans="15:17" ht="15.75" customHeight="1">
      <c r="O193" s="16"/>
      <c r="Q193" s="16"/>
    </row>
    <row r="194" spans="15:17" ht="15.75" customHeight="1">
      <c r="O194" s="16"/>
      <c r="Q194" s="16"/>
    </row>
    <row r="195" spans="15:17" ht="15.75" customHeight="1">
      <c r="O195" s="16"/>
      <c r="Q195" s="16"/>
    </row>
    <row r="196" spans="15:17" ht="15.75" customHeight="1">
      <c r="O196" s="16"/>
      <c r="Q196" s="16"/>
    </row>
    <row r="197" spans="15:17" ht="15.75" customHeight="1">
      <c r="O197" s="16"/>
      <c r="Q197" s="16"/>
    </row>
    <row r="198" spans="15:17" ht="15.75" customHeight="1">
      <c r="O198" s="16"/>
      <c r="Q198" s="16"/>
    </row>
    <row r="199" spans="15:17" ht="15.75" customHeight="1">
      <c r="O199" s="16"/>
      <c r="Q199" s="16"/>
    </row>
    <row r="200" spans="15:17" ht="15.75" customHeight="1">
      <c r="O200" s="16"/>
      <c r="Q200" s="16"/>
    </row>
    <row r="201" spans="15:17" ht="15.75" customHeight="1">
      <c r="O201" s="16"/>
      <c r="Q201" s="16"/>
    </row>
    <row r="202" spans="15:17" ht="15.75" customHeight="1">
      <c r="O202" s="16"/>
      <c r="Q202" s="16"/>
    </row>
    <row r="203" spans="15:17" ht="15.75" customHeight="1">
      <c r="O203" s="16"/>
      <c r="Q203" s="16"/>
    </row>
    <row r="204" spans="15:17" ht="15.75" customHeight="1">
      <c r="O204" s="16"/>
      <c r="Q204" s="16"/>
    </row>
    <row r="205" spans="15:17" ht="15.75" customHeight="1">
      <c r="O205" s="16"/>
      <c r="Q205" s="16"/>
    </row>
    <row r="206" spans="15:17" ht="15.75" customHeight="1">
      <c r="O206" s="16"/>
      <c r="Q206" s="16"/>
    </row>
    <row r="207" spans="15:17" ht="15.75" customHeight="1">
      <c r="O207" s="16"/>
      <c r="Q207" s="16"/>
    </row>
    <row r="208" spans="15:17" ht="15.75" customHeight="1">
      <c r="O208" s="16"/>
      <c r="Q208" s="16"/>
    </row>
    <row r="209" spans="15:17" ht="15.75" customHeight="1">
      <c r="O209" s="16"/>
      <c r="Q209" s="16"/>
    </row>
    <row r="210" spans="15:17" ht="15.75" customHeight="1">
      <c r="O210" s="16"/>
      <c r="Q210" s="16"/>
    </row>
    <row r="211" spans="15:17" ht="15.75" customHeight="1">
      <c r="O211" s="16"/>
      <c r="Q211" s="16"/>
    </row>
    <row r="212" spans="15:17" ht="15.75" customHeight="1">
      <c r="O212" s="16"/>
      <c r="Q212" s="16"/>
    </row>
    <row r="213" spans="15:17" ht="15.75" customHeight="1">
      <c r="O213" s="16"/>
      <c r="Q213" s="16"/>
    </row>
    <row r="214" spans="15:17" ht="15.75" customHeight="1">
      <c r="O214" s="16"/>
      <c r="Q214" s="16"/>
    </row>
    <row r="215" spans="15:17" ht="15.75" customHeight="1">
      <c r="O215" s="16"/>
      <c r="Q215" s="16"/>
    </row>
    <row r="216" spans="15:17" ht="15.75" customHeight="1">
      <c r="O216" s="16"/>
      <c r="Q216" s="16"/>
    </row>
    <row r="217" spans="15:17" ht="15.75" customHeight="1">
      <c r="O217" s="16"/>
      <c r="Q217" s="16"/>
    </row>
    <row r="218" spans="15:17" ht="15.75" customHeight="1">
      <c r="O218" s="16"/>
      <c r="Q218" s="16"/>
    </row>
    <row r="219" spans="15:17" ht="15.75" customHeight="1">
      <c r="O219" s="16"/>
      <c r="Q219" s="16"/>
    </row>
    <row r="220" spans="15:17" ht="15.75" customHeight="1">
      <c r="O220" s="16"/>
      <c r="Q220" s="16"/>
    </row>
    <row r="221" spans="15:17" ht="15.75" customHeight="1">
      <c r="O221" s="16"/>
      <c r="Q221" s="16"/>
    </row>
    <row r="222" spans="15:17" ht="15.75" customHeight="1">
      <c r="O222" s="16"/>
      <c r="Q222" s="16"/>
    </row>
    <row r="223" spans="15:17" ht="15.75" customHeight="1">
      <c r="O223" s="16"/>
      <c r="Q223" s="16"/>
    </row>
    <row r="224" spans="15:17" ht="15.75" customHeight="1">
      <c r="O224" s="16"/>
      <c r="Q224" s="16"/>
    </row>
    <row r="225" spans="15:17" ht="15.75" customHeight="1">
      <c r="O225" s="16"/>
      <c r="Q225" s="16"/>
    </row>
    <row r="226" spans="15:17" ht="15.75" customHeight="1">
      <c r="O226" s="16"/>
      <c r="Q226" s="16"/>
    </row>
    <row r="227" spans="15:17" ht="15.75" customHeight="1">
      <c r="O227" s="16"/>
      <c r="Q227" s="16"/>
    </row>
    <row r="228" spans="15:17" ht="15.75" customHeight="1">
      <c r="O228" s="16"/>
      <c r="Q228" s="16"/>
    </row>
    <row r="229" spans="15:17" ht="15.75" customHeight="1">
      <c r="O229" s="16"/>
      <c r="Q229" s="16"/>
    </row>
    <row r="230" spans="15:17" ht="15.75" customHeight="1">
      <c r="O230" s="16"/>
      <c r="Q230" s="16"/>
    </row>
    <row r="231" spans="15:17" ht="15.75" customHeight="1">
      <c r="O231" s="16"/>
      <c r="Q231" s="16"/>
    </row>
    <row r="232" spans="15:17" ht="15.75" customHeight="1">
      <c r="O232" s="16"/>
      <c r="Q232" s="16"/>
    </row>
    <row r="233" spans="15:17" ht="15.75" customHeight="1">
      <c r="O233" s="16"/>
      <c r="Q233" s="16"/>
    </row>
    <row r="234" spans="15:17" ht="15.75" customHeight="1">
      <c r="O234" s="16"/>
      <c r="Q234" s="16"/>
    </row>
    <row r="235" spans="15:17" ht="15.75" customHeight="1">
      <c r="O235" s="16"/>
      <c r="Q235" s="16"/>
    </row>
    <row r="236" spans="15:17" ht="15.75" customHeight="1">
      <c r="O236" s="16"/>
      <c r="Q236" s="16"/>
    </row>
    <row r="237" spans="15:17" ht="15.75" customHeight="1">
      <c r="O237" s="16"/>
      <c r="Q237" s="16"/>
    </row>
    <row r="238" spans="15:17" ht="15.75" customHeight="1">
      <c r="O238" s="16"/>
      <c r="Q238" s="16"/>
    </row>
    <row r="239" spans="15:17" ht="15.75" customHeight="1">
      <c r="O239" s="16"/>
      <c r="Q239" s="16"/>
    </row>
    <row r="240" spans="15:17" ht="15.75" customHeight="1">
      <c r="O240" s="16"/>
      <c r="Q240" s="16"/>
    </row>
    <row r="241" spans="15:17" ht="15.75" customHeight="1">
      <c r="O241" s="16"/>
      <c r="Q241" s="16"/>
    </row>
    <row r="242" spans="15:17" ht="15.75" customHeight="1">
      <c r="O242" s="16"/>
      <c r="Q242" s="16"/>
    </row>
    <row r="243" spans="15:17" ht="15.75" customHeight="1">
      <c r="O243" s="16"/>
      <c r="Q243" s="16"/>
    </row>
    <row r="244" spans="15:17" ht="15.75" customHeight="1">
      <c r="O244" s="16"/>
      <c r="Q244" s="16"/>
    </row>
    <row r="245" spans="15:17" ht="15.75" customHeight="1">
      <c r="O245" s="16"/>
      <c r="Q245" s="16"/>
    </row>
    <row r="246" spans="15:17" ht="15.75" customHeight="1">
      <c r="O246" s="16"/>
      <c r="Q246" s="16"/>
    </row>
    <row r="247" spans="15:17" ht="15.75" customHeight="1">
      <c r="O247" s="16"/>
      <c r="Q247" s="16"/>
    </row>
    <row r="248" spans="15:17" ht="15.75" customHeight="1">
      <c r="O248" s="16"/>
      <c r="Q248" s="16"/>
    </row>
    <row r="249" spans="15:17" ht="15.75" customHeight="1">
      <c r="O249" s="16"/>
      <c r="Q249" s="16"/>
    </row>
    <row r="250" spans="15:17" ht="15.75" customHeight="1">
      <c r="O250" s="16"/>
      <c r="Q250" s="16"/>
    </row>
    <row r="251" spans="15:17" ht="15.75" customHeight="1">
      <c r="O251" s="16"/>
      <c r="Q251" s="16"/>
    </row>
    <row r="252" spans="15:17" ht="15.75" customHeight="1">
      <c r="O252" s="16"/>
      <c r="Q252" s="16"/>
    </row>
    <row r="253" spans="15:17" ht="15.75" customHeight="1">
      <c r="O253" s="16"/>
      <c r="Q253" s="16"/>
    </row>
    <row r="254" spans="15:17" ht="15.75" customHeight="1">
      <c r="O254" s="16"/>
      <c r="Q254" s="16"/>
    </row>
    <row r="255" spans="15:17" ht="15.75" customHeight="1">
      <c r="O255" s="16"/>
      <c r="Q255" s="16"/>
    </row>
    <row r="256" spans="15:17" ht="15.75" customHeight="1">
      <c r="O256" s="16"/>
      <c r="Q256" s="16"/>
    </row>
    <row r="257" spans="15:17" ht="15.75" customHeight="1">
      <c r="O257" s="16"/>
      <c r="Q257" s="16"/>
    </row>
    <row r="258" spans="15:17" ht="15.75" customHeight="1">
      <c r="O258" s="16"/>
      <c r="Q258" s="16"/>
    </row>
    <row r="259" spans="15:17" ht="15.75" customHeight="1">
      <c r="O259" s="16"/>
      <c r="Q259" s="16"/>
    </row>
    <row r="260" spans="15:17" ht="15.75" customHeight="1">
      <c r="O260" s="16"/>
      <c r="Q260" s="16"/>
    </row>
    <row r="261" spans="15:17" ht="15.75" customHeight="1">
      <c r="O261" s="16"/>
      <c r="Q261" s="16"/>
    </row>
    <row r="262" spans="15:17" ht="15.75" customHeight="1">
      <c r="O262" s="16"/>
      <c r="Q262" s="16"/>
    </row>
    <row r="263" spans="15:17" ht="15.75" customHeight="1">
      <c r="O263" s="16"/>
      <c r="Q263" s="16"/>
    </row>
    <row r="264" spans="15:17" ht="15.75" customHeight="1">
      <c r="O264" s="16"/>
      <c r="Q264" s="16"/>
    </row>
    <row r="265" spans="15:17" ht="15.75" customHeight="1">
      <c r="O265" s="16"/>
      <c r="Q265" s="16"/>
    </row>
    <row r="266" spans="15:17" ht="15.75" customHeight="1">
      <c r="O266" s="16"/>
      <c r="Q266" s="16"/>
    </row>
    <row r="267" spans="15:17" ht="15.75" customHeight="1">
      <c r="O267" s="16"/>
      <c r="Q267" s="16"/>
    </row>
    <row r="268" spans="15:17" ht="15.75" customHeight="1">
      <c r="O268" s="16"/>
      <c r="Q268" s="16"/>
    </row>
    <row r="269" spans="15:17" ht="15.75" customHeight="1">
      <c r="O269" s="16"/>
      <c r="Q269" s="16"/>
    </row>
    <row r="270" spans="15:17" ht="15.75" customHeight="1">
      <c r="O270" s="16"/>
      <c r="Q270" s="16"/>
    </row>
    <row r="271" spans="15:17" ht="15.75" customHeight="1">
      <c r="O271" s="16"/>
      <c r="Q271" s="16"/>
    </row>
    <row r="272" spans="15:17" ht="15.75" customHeight="1">
      <c r="O272" s="16"/>
      <c r="Q272" s="16"/>
    </row>
    <row r="273" spans="15:17" ht="15.75" customHeight="1">
      <c r="O273" s="16"/>
      <c r="Q273" s="16"/>
    </row>
    <row r="274" spans="15:17" ht="15.75" customHeight="1">
      <c r="O274" s="16"/>
      <c r="Q274" s="16"/>
    </row>
    <row r="275" spans="15:17" ht="15.75" customHeight="1">
      <c r="O275" s="16"/>
      <c r="Q275" s="16"/>
    </row>
    <row r="276" spans="15:17" ht="15.75" customHeight="1">
      <c r="O276" s="16"/>
      <c r="Q276" s="16"/>
    </row>
    <row r="277" spans="15:17" ht="15.75" customHeight="1">
      <c r="O277" s="16"/>
      <c r="Q277" s="16"/>
    </row>
    <row r="278" spans="15:17" ht="15.75" customHeight="1">
      <c r="O278" s="16"/>
      <c r="Q278" s="16"/>
    </row>
    <row r="279" spans="15:17" ht="15.75" customHeight="1">
      <c r="O279" s="16"/>
      <c r="Q279" s="16"/>
    </row>
    <row r="280" spans="15:17" ht="15.75" customHeight="1">
      <c r="O280" s="16"/>
      <c r="Q280" s="16"/>
    </row>
    <row r="281" spans="15:17" ht="15.75" customHeight="1">
      <c r="O281" s="16"/>
      <c r="Q281" s="16"/>
    </row>
    <row r="282" spans="15:17" ht="15.75" customHeight="1">
      <c r="O282" s="16"/>
      <c r="Q282" s="16"/>
    </row>
    <row r="283" spans="15:17" ht="15.75" customHeight="1">
      <c r="O283" s="16"/>
      <c r="Q283" s="16"/>
    </row>
    <row r="284" spans="15:17" ht="15.75" customHeight="1">
      <c r="O284" s="16"/>
      <c r="Q284" s="16"/>
    </row>
    <row r="285" spans="15:17" ht="15.75" customHeight="1">
      <c r="O285" s="16"/>
      <c r="Q285" s="16"/>
    </row>
    <row r="286" spans="15:17" ht="15.75" customHeight="1">
      <c r="O286" s="16"/>
      <c r="Q286" s="16"/>
    </row>
    <row r="287" spans="15:17" ht="15.75" customHeight="1">
      <c r="O287" s="16"/>
      <c r="Q287" s="16"/>
    </row>
    <row r="288" spans="15:17" ht="15.75" customHeight="1">
      <c r="O288" s="16"/>
      <c r="Q288" s="16"/>
    </row>
    <row r="289" spans="15:17" ht="15.75" customHeight="1">
      <c r="O289" s="16"/>
      <c r="Q289" s="16"/>
    </row>
    <row r="290" spans="15:17" ht="15.75" customHeight="1">
      <c r="O290" s="16"/>
      <c r="Q290" s="16"/>
    </row>
    <row r="291" spans="15:17" ht="15.75" customHeight="1">
      <c r="O291" s="16"/>
      <c r="Q291" s="16"/>
    </row>
    <row r="292" spans="15:17" ht="15.75" customHeight="1">
      <c r="O292" s="16"/>
      <c r="Q292" s="16"/>
    </row>
    <row r="293" spans="15:17" ht="15.75" customHeight="1">
      <c r="O293" s="16"/>
      <c r="Q293" s="16"/>
    </row>
    <row r="294" spans="15:17" ht="15.75" customHeight="1">
      <c r="O294" s="16"/>
      <c r="Q294" s="16"/>
    </row>
    <row r="295" spans="15:17" ht="15.75" customHeight="1">
      <c r="O295" s="16"/>
      <c r="Q295" s="16"/>
    </row>
    <row r="296" spans="15:17" ht="15.75" customHeight="1">
      <c r="O296" s="16"/>
      <c r="Q296" s="16"/>
    </row>
    <row r="297" spans="15:17" ht="15.75" customHeight="1">
      <c r="O297" s="16"/>
      <c r="Q297" s="16"/>
    </row>
    <row r="298" spans="15:17" ht="15.75" customHeight="1">
      <c r="O298" s="16"/>
      <c r="Q298" s="16"/>
    </row>
    <row r="299" spans="15:17" ht="15.75" customHeight="1">
      <c r="O299" s="16"/>
      <c r="Q299" s="16"/>
    </row>
    <row r="300" spans="15:17" ht="15.75" customHeight="1">
      <c r="O300" s="16"/>
      <c r="Q300" s="16"/>
    </row>
    <row r="301" spans="15:17" ht="15.75" customHeight="1">
      <c r="O301" s="16"/>
      <c r="Q301" s="16"/>
    </row>
    <row r="302" spans="15:17" ht="15.75" customHeight="1">
      <c r="O302" s="16"/>
      <c r="Q302" s="16"/>
    </row>
    <row r="303" spans="15:17" ht="15.75" customHeight="1">
      <c r="O303" s="16"/>
      <c r="Q303" s="16"/>
    </row>
    <row r="304" spans="15:17" ht="15.75" customHeight="1">
      <c r="O304" s="16"/>
      <c r="Q304" s="16"/>
    </row>
    <row r="305" spans="15:17" ht="15.75" customHeight="1">
      <c r="O305" s="16"/>
      <c r="Q305" s="16"/>
    </row>
    <row r="306" spans="15:17" ht="15.75" customHeight="1">
      <c r="O306" s="16"/>
      <c r="Q306" s="16"/>
    </row>
    <row r="307" spans="15:17" ht="15.75" customHeight="1">
      <c r="O307" s="16"/>
      <c r="Q307" s="16"/>
    </row>
    <row r="308" spans="15:17" ht="15.75" customHeight="1">
      <c r="O308" s="16"/>
      <c r="Q308" s="16"/>
    </row>
    <row r="309" spans="15:17" ht="15.75" customHeight="1">
      <c r="O309" s="16"/>
      <c r="Q309" s="16"/>
    </row>
    <row r="310" spans="15:17" ht="15.75" customHeight="1">
      <c r="O310" s="16"/>
      <c r="Q310" s="16"/>
    </row>
    <row r="311" spans="15:17" ht="15.75" customHeight="1">
      <c r="O311" s="16"/>
      <c r="Q311" s="16"/>
    </row>
    <row r="312" spans="15:17" ht="15.75" customHeight="1">
      <c r="O312" s="16"/>
      <c r="Q312" s="16"/>
    </row>
    <row r="313" spans="15:17" ht="15.75" customHeight="1">
      <c r="O313" s="16"/>
      <c r="Q313" s="16"/>
    </row>
    <row r="314" spans="15:17" ht="15.75" customHeight="1">
      <c r="O314" s="16"/>
      <c r="Q314" s="16"/>
    </row>
    <row r="315" spans="15:17" ht="15.75" customHeight="1">
      <c r="O315" s="16"/>
      <c r="Q315" s="16"/>
    </row>
    <row r="316" spans="15:17" ht="15.75" customHeight="1">
      <c r="O316" s="16"/>
      <c r="Q316" s="16"/>
    </row>
    <row r="317" spans="15:17" ht="15.75" customHeight="1">
      <c r="O317" s="16"/>
      <c r="Q317" s="16"/>
    </row>
    <row r="318" spans="15:17" ht="15.75" customHeight="1">
      <c r="O318" s="16"/>
      <c r="Q318" s="16"/>
    </row>
    <row r="319" spans="15:17" ht="15.75" customHeight="1">
      <c r="O319" s="16"/>
      <c r="Q319" s="16"/>
    </row>
    <row r="320" spans="15:17" ht="15.75" customHeight="1">
      <c r="O320" s="16"/>
      <c r="Q320" s="16"/>
    </row>
    <row r="321" spans="15:17" ht="15.75" customHeight="1">
      <c r="O321" s="16"/>
      <c r="Q321" s="16"/>
    </row>
    <row r="322" spans="15:17" ht="15.75" customHeight="1">
      <c r="O322" s="16"/>
      <c r="Q322" s="16"/>
    </row>
    <row r="323" spans="15:17" ht="15.75" customHeight="1">
      <c r="O323" s="16"/>
      <c r="Q323" s="16"/>
    </row>
    <row r="324" spans="15:17" ht="15.75" customHeight="1">
      <c r="O324" s="16"/>
      <c r="Q324" s="16"/>
    </row>
    <row r="325" spans="15:17" ht="15.75" customHeight="1">
      <c r="O325" s="16"/>
      <c r="Q325" s="16"/>
    </row>
    <row r="326" spans="15:17" ht="15.75" customHeight="1">
      <c r="O326" s="16"/>
      <c r="Q326" s="16"/>
    </row>
    <row r="327" spans="15:17" ht="15.75" customHeight="1">
      <c r="O327" s="16"/>
      <c r="Q327" s="16"/>
    </row>
    <row r="328" spans="15:17" ht="15.75" customHeight="1">
      <c r="O328" s="16"/>
      <c r="Q328" s="16"/>
    </row>
    <row r="329" spans="15:17" ht="15.75" customHeight="1">
      <c r="O329" s="16"/>
      <c r="Q329" s="16"/>
    </row>
    <row r="330" spans="15:17" ht="15.75" customHeight="1">
      <c r="O330" s="16"/>
      <c r="Q330" s="16"/>
    </row>
    <row r="331" spans="15:17" ht="15.75" customHeight="1">
      <c r="O331" s="16"/>
      <c r="Q331" s="16"/>
    </row>
    <row r="332" spans="15:17" ht="15.75" customHeight="1">
      <c r="O332" s="16"/>
      <c r="Q332" s="16"/>
    </row>
    <row r="333" spans="15:17" ht="15.75" customHeight="1">
      <c r="O333" s="16"/>
      <c r="Q333" s="16"/>
    </row>
    <row r="334" spans="15:17" ht="15.75" customHeight="1">
      <c r="O334" s="16"/>
      <c r="Q334" s="16"/>
    </row>
    <row r="335" spans="15:17" ht="15.75" customHeight="1">
      <c r="O335" s="16"/>
      <c r="Q335" s="16"/>
    </row>
    <row r="336" spans="15:17" ht="15.75" customHeight="1">
      <c r="O336" s="16"/>
      <c r="Q336" s="16"/>
    </row>
    <row r="337" spans="15:17" ht="15.75" customHeight="1">
      <c r="O337" s="16"/>
      <c r="Q337" s="16"/>
    </row>
    <row r="338" spans="15:17" ht="15.75" customHeight="1">
      <c r="O338" s="16"/>
      <c r="Q338" s="16"/>
    </row>
    <row r="339" spans="15:17" ht="15.75" customHeight="1">
      <c r="O339" s="16"/>
      <c r="Q339" s="16"/>
    </row>
    <row r="340" spans="15:17" ht="15.75" customHeight="1">
      <c r="O340" s="16"/>
      <c r="Q340" s="16"/>
    </row>
    <row r="341" spans="15:17" ht="15.75" customHeight="1">
      <c r="O341" s="16"/>
      <c r="Q341" s="16"/>
    </row>
    <row r="342" spans="15:17" ht="15.75" customHeight="1">
      <c r="O342" s="16"/>
      <c r="Q342" s="16"/>
    </row>
    <row r="343" spans="15:17" ht="15.75" customHeight="1">
      <c r="O343" s="16"/>
      <c r="Q343" s="16"/>
    </row>
    <row r="344" spans="15:17" ht="15.75" customHeight="1">
      <c r="O344" s="16"/>
      <c r="Q344" s="16"/>
    </row>
    <row r="345" spans="15:17" ht="15.75" customHeight="1">
      <c r="O345" s="16"/>
      <c r="Q345" s="16"/>
    </row>
    <row r="346" spans="15:17" ht="15.75" customHeight="1">
      <c r="O346" s="16"/>
      <c r="Q346" s="16"/>
    </row>
    <row r="347" spans="15:17" ht="15.75" customHeight="1">
      <c r="O347" s="16"/>
      <c r="Q347" s="16"/>
    </row>
    <row r="348" spans="15:17" ht="15.75" customHeight="1">
      <c r="O348" s="16"/>
      <c r="Q348" s="16"/>
    </row>
    <row r="349" spans="15:17" ht="15.75" customHeight="1">
      <c r="O349" s="16"/>
      <c r="Q349" s="16"/>
    </row>
    <row r="350" spans="15:17" ht="15.75" customHeight="1">
      <c r="O350" s="16"/>
      <c r="Q350" s="16"/>
    </row>
    <row r="351" spans="15:17" ht="15.75" customHeight="1">
      <c r="O351" s="16"/>
      <c r="Q351" s="16"/>
    </row>
    <row r="352" spans="15:17" ht="15.75" customHeight="1">
      <c r="O352" s="16"/>
      <c r="Q352" s="16"/>
    </row>
    <row r="353" spans="15:17" ht="15.75" customHeight="1">
      <c r="O353" s="16"/>
      <c r="Q353" s="16"/>
    </row>
    <row r="354" spans="15:17" ht="15.75" customHeight="1">
      <c r="O354" s="16"/>
      <c r="Q354" s="16"/>
    </row>
    <row r="355" spans="15:17" ht="15.75" customHeight="1">
      <c r="O355" s="16"/>
      <c r="Q355" s="16"/>
    </row>
    <row r="356" spans="15:17" ht="15.75" customHeight="1">
      <c r="O356" s="16"/>
      <c r="Q356" s="16"/>
    </row>
    <row r="357" spans="15:17" ht="15.75" customHeight="1">
      <c r="O357" s="16"/>
      <c r="Q357" s="16"/>
    </row>
    <row r="358" spans="15:17" ht="15.75" customHeight="1">
      <c r="O358" s="16"/>
      <c r="Q358" s="16"/>
    </row>
    <row r="359" spans="15:17" ht="15.75" customHeight="1">
      <c r="O359" s="16"/>
      <c r="Q359" s="16"/>
    </row>
    <row r="360" spans="15:17" ht="15.75" customHeight="1">
      <c r="O360" s="16"/>
      <c r="Q360" s="16"/>
    </row>
    <row r="361" spans="15:17" ht="15.75" customHeight="1">
      <c r="O361" s="16"/>
      <c r="Q361" s="16"/>
    </row>
    <row r="362" spans="15:17" ht="15.75" customHeight="1">
      <c r="O362" s="16"/>
      <c r="Q362" s="16"/>
    </row>
    <row r="363" spans="15:17" ht="15.75" customHeight="1">
      <c r="O363" s="16"/>
      <c r="Q363" s="16"/>
    </row>
    <row r="364" spans="15:17" ht="15.75" customHeight="1">
      <c r="O364" s="16"/>
      <c r="Q364" s="16"/>
    </row>
    <row r="365" spans="15:17" ht="15.75" customHeight="1">
      <c r="O365" s="16"/>
      <c r="Q365" s="16"/>
    </row>
    <row r="366" spans="15:17" ht="15.75" customHeight="1">
      <c r="O366" s="16"/>
      <c r="Q366" s="16"/>
    </row>
    <row r="367" spans="15:17" ht="15.75" customHeight="1">
      <c r="O367" s="16"/>
      <c r="Q367" s="16"/>
    </row>
    <row r="368" spans="15:17" ht="15.75" customHeight="1">
      <c r="O368" s="16"/>
      <c r="Q368" s="16"/>
    </row>
    <row r="369" spans="15:17" ht="15.75" customHeight="1">
      <c r="O369" s="16"/>
      <c r="Q369" s="16"/>
    </row>
    <row r="370" spans="15:17" ht="15.75" customHeight="1">
      <c r="O370" s="16"/>
      <c r="Q370" s="16"/>
    </row>
    <row r="371" spans="15:17" ht="15.75" customHeight="1">
      <c r="O371" s="16"/>
      <c r="Q371" s="16"/>
    </row>
    <row r="372" spans="15:17" ht="15.75" customHeight="1">
      <c r="O372" s="16"/>
      <c r="Q372" s="16"/>
    </row>
    <row r="373" spans="15:17" ht="15.75" customHeight="1">
      <c r="O373" s="16"/>
      <c r="Q373" s="16"/>
    </row>
    <row r="374" spans="15:17" ht="15.75" customHeight="1">
      <c r="O374" s="16"/>
      <c r="Q374" s="16"/>
    </row>
    <row r="375" spans="15:17" ht="15.75" customHeight="1">
      <c r="O375" s="16"/>
      <c r="Q375" s="16"/>
    </row>
    <row r="376" spans="15:17" ht="15.75" customHeight="1">
      <c r="O376" s="16"/>
      <c r="Q376" s="16"/>
    </row>
    <row r="377" spans="15:17" ht="15.75" customHeight="1">
      <c r="O377" s="16"/>
      <c r="Q377" s="16"/>
    </row>
    <row r="378" spans="15:17" ht="15.75" customHeight="1">
      <c r="O378" s="16"/>
      <c r="Q378" s="16"/>
    </row>
    <row r="379" spans="15:17" ht="15.75" customHeight="1">
      <c r="O379" s="16"/>
      <c r="Q379" s="16"/>
    </row>
    <row r="380" spans="15:17" ht="15.75" customHeight="1">
      <c r="O380" s="16"/>
      <c r="Q380" s="16"/>
    </row>
    <row r="381" spans="15:17" ht="15.75" customHeight="1">
      <c r="O381" s="16"/>
      <c r="Q381" s="16"/>
    </row>
    <row r="382" spans="15:17" ht="15.75" customHeight="1">
      <c r="O382" s="16"/>
      <c r="Q382" s="16"/>
    </row>
    <row r="383" spans="15:17" ht="15.75" customHeight="1">
      <c r="O383" s="16"/>
      <c r="Q383" s="16"/>
    </row>
    <row r="384" spans="15:17" ht="15.75" customHeight="1">
      <c r="O384" s="16"/>
      <c r="Q384" s="16"/>
    </row>
    <row r="385" spans="15:17" ht="15.75" customHeight="1">
      <c r="O385" s="16"/>
      <c r="Q385" s="16"/>
    </row>
    <row r="386" spans="15:17" ht="15.75" customHeight="1">
      <c r="O386" s="16"/>
      <c r="Q386" s="16"/>
    </row>
    <row r="387" spans="15:17" ht="15.75" customHeight="1">
      <c r="O387" s="16"/>
      <c r="Q387" s="16"/>
    </row>
    <row r="388" spans="15:17" ht="15.75" customHeight="1">
      <c r="O388" s="16"/>
      <c r="Q388" s="16"/>
    </row>
    <row r="389" spans="15:17" ht="15.75" customHeight="1">
      <c r="O389" s="16"/>
      <c r="Q389" s="16"/>
    </row>
    <row r="390" spans="15:17" ht="15.75" customHeight="1">
      <c r="O390" s="16"/>
      <c r="Q390" s="16"/>
    </row>
    <row r="391" spans="15:17" ht="15.75" customHeight="1">
      <c r="O391" s="16"/>
      <c r="Q391" s="16"/>
    </row>
    <row r="392" spans="15:17" ht="15.75" customHeight="1">
      <c r="O392" s="16"/>
      <c r="Q392" s="16"/>
    </row>
    <row r="393" spans="15:17" ht="15.75" customHeight="1">
      <c r="O393" s="16"/>
      <c r="Q393" s="16"/>
    </row>
    <row r="394" spans="15:17" ht="15.75" customHeight="1">
      <c r="O394" s="16"/>
      <c r="Q394" s="16"/>
    </row>
    <row r="395" spans="15:17" ht="15.75" customHeight="1">
      <c r="O395" s="16"/>
      <c r="Q395" s="16"/>
    </row>
    <row r="396" spans="15:17" ht="15.75" customHeight="1">
      <c r="O396" s="16"/>
      <c r="Q396" s="16"/>
    </row>
    <row r="397" spans="15:17" ht="15.75" customHeight="1">
      <c r="O397" s="16"/>
      <c r="Q397" s="16"/>
    </row>
    <row r="398" spans="15:17" ht="15.75" customHeight="1">
      <c r="O398" s="16"/>
      <c r="Q398" s="16"/>
    </row>
    <row r="399" spans="15:17" ht="15.75" customHeight="1">
      <c r="O399" s="16"/>
      <c r="Q399" s="16"/>
    </row>
    <row r="400" spans="15:17" ht="15.75" customHeight="1">
      <c r="O400" s="16"/>
      <c r="Q400" s="16"/>
    </row>
    <row r="401" spans="15:17" ht="15.75" customHeight="1">
      <c r="O401" s="16"/>
      <c r="Q401" s="16"/>
    </row>
    <row r="402" spans="15:17" ht="15.75" customHeight="1">
      <c r="O402" s="16"/>
      <c r="Q402" s="16"/>
    </row>
    <row r="403" spans="15:17" ht="15.75" customHeight="1">
      <c r="O403" s="16"/>
      <c r="Q403" s="16"/>
    </row>
    <row r="404" spans="15:17" ht="15.75" customHeight="1">
      <c r="O404" s="16"/>
      <c r="Q404" s="16"/>
    </row>
    <row r="405" spans="15:17" ht="15.75" customHeight="1">
      <c r="O405" s="16"/>
      <c r="Q405" s="16"/>
    </row>
    <row r="406" spans="15:17" ht="15.75" customHeight="1">
      <c r="O406" s="16"/>
      <c r="Q406" s="16"/>
    </row>
    <row r="407" spans="15:17" ht="15.75" customHeight="1">
      <c r="O407" s="16"/>
      <c r="Q407" s="16"/>
    </row>
    <row r="408" spans="15:17" ht="15.75" customHeight="1">
      <c r="O408" s="16"/>
      <c r="Q408" s="16"/>
    </row>
    <row r="409" spans="15:17" ht="15.75" customHeight="1">
      <c r="O409" s="16"/>
      <c r="Q409" s="16"/>
    </row>
    <row r="410" spans="15:17" ht="15.75" customHeight="1">
      <c r="O410" s="16"/>
      <c r="Q410" s="16"/>
    </row>
    <row r="411" spans="15:17" ht="15.75" customHeight="1">
      <c r="O411" s="16"/>
      <c r="Q411" s="16"/>
    </row>
    <row r="412" spans="15:17" ht="15.75" customHeight="1">
      <c r="O412" s="16"/>
      <c r="Q412" s="16"/>
    </row>
    <row r="413" spans="15:17" ht="15.75" customHeight="1">
      <c r="O413" s="16"/>
      <c r="Q413" s="16"/>
    </row>
    <row r="414" spans="15:17" ht="15.75" customHeight="1">
      <c r="O414" s="16"/>
      <c r="Q414" s="16"/>
    </row>
    <row r="415" spans="15:17" ht="15.75" customHeight="1">
      <c r="O415" s="16"/>
      <c r="Q415" s="16"/>
    </row>
    <row r="416" spans="15:17" ht="15.75" customHeight="1">
      <c r="O416" s="16"/>
      <c r="Q416" s="16"/>
    </row>
    <row r="417" spans="15:17" ht="15.75" customHeight="1">
      <c r="O417" s="16"/>
      <c r="Q417" s="16"/>
    </row>
    <row r="418" spans="15:17" ht="15.75" customHeight="1">
      <c r="O418" s="16"/>
      <c r="Q418" s="16"/>
    </row>
    <row r="419" spans="15:17" ht="15.75" customHeight="1">
      <c r="O419" s="16"/>
      <c r="Q419" s="16"/>
    </row>
    <row r="420" spans="15:17" ht="15.75" customHeight="1">
      <c r="O420" s="16"/>
      <c r="Q420" s="16"/>
    </row>
    <row r="421" spans="15:17" ht="15.75" customHeight="1">
      <c r="O421" s="16"/>
      <c r="Q421" s="16"/>
    </row>
    <row r="422" spans="15:17" ht="15.75" customHeight="1">
      <c r="O422" s="16"/>
      <c r="Q422" s="16"/>
    </row>
    <row r="423" spans="15:17" ht="15.75" customHeight="1">
      <c r="O423" s="16"/>
      <c r="Q423" s="16"/>
    </row>
    <row r="424" spans="15:17" ht="15.75" customHeight="1">
      <c r="O424" s="16"/>
      <c r="Q424" s="16"/>
    </row>
    <row r="425" spans="15:17" ht="15.75" customHeight="1">
      <c r="O425" s="16"/>
      <c r="Q425" s="16"/>
    </row>
    <row r="426" spans="15:17" ht="15.75" customHeight="1">
      <c r="O426" s="16"/>
      <c r="Q426" s="16"/>
    </row>
    <row r="427" spans="15:17" ht="15.75" customHeight="1">
      <c r="O427" s="16"/>
      <c r="Q427" s="16"/>
    </row>
    <row r="428" spans="15:17" ht="15.75" customHeight="1">
      <c r="O428" s="16"/>
      <c r="Q428" s="16"/>
    </row>
    <row r="429" spans="15:17" ht="15.75" customHeight="1">
      <c r="O429" s="16"/>
      <c r="Q429" s="16"/>
    </row>
    <row r="430" spans="15:17" ht="15.75" customHeight="1">
      <c r="O430" s="16"/>
      <c r="Q430" s="16"/>
    </row>
    <row r="431" spans="15:17" ht="15.75" customHeight="1">
      <c r="O431" s="16"/>
      <c r="Q431" s="16"/>
    </row>
    <row r="432" spans="15:17" ht="15.75" customHeight="1">
      <c r="O432" s="16"/>
      <c r="Q432" s="16"/>
    </row>
    <row r="433" spans="15:17" ht="15.75" customHeight="1">
      <c r="O433" s="16"/>
      <c r="Q433" s="16"/>
    </row>
    <row r="434" spans="15:17" ht="15.75" customHeight="1">
      <c r="O434" s="16"/>
      <c r="Q434" s="16"/>
    </row>
    <row r="435" spans="15:17" ht="15.75" customHeight="1">
      <c r="O435" s="16"/>
      <c r="Q435" s="16"/>
    </row>
    <row r="436" spans="15:17" ht="15.75" customHeight="1">
      <c r="O436" s="16"/>
      <c r="Q436" s="16"/>
    </row>
    <row r="437" spans="15:17" ht="15.75" customHeight="1">
      <c r="O437" s="16"/>
      <c r="Q437" s="16"/>
    </row>
    <row r="438" spans="15:17" ht="15.75" customHeight="1">
      <c r="O438" s="16"/>
      <c r="Q438" s="16"/>
    </row>
    <row r="439" spans="15:17" ht="15.75" customHeight="1">
      <c r="O439" s="16"/>
      <c r="Q439" s="16"/>
    </row>
    <row r="440" spans="15:17" ht="15.75" customHeight="1">
      <c r="O440" s="16"/>
      <c r="Q440" s="16"/>
    </row>
    <row r="441" spans="15:17" ht="15.75" customHeight="1">
      <c r="O441" s="16"/>
      <c r="Q441" s="16"/>
    </row>
    <row r="442" spans="15:17" ht="15.75" customHeight="1">
      <c r="O442" s="16"/>
      <c r="Q442" s="16"/>
    </row>
    <row r="443" spans="15:17" ht="15.75" customHeight="1">
      <c r="O443" s="16"/>
      <c r="Q443" s="16"/>
    </row>
    <row r="444" spans="15:17" ht="15.75" customHeight="1">
      <c r="O444" s="16"/>
      <c r="Q444" s="16"/>
    </row>
    <row r="445" spans="15:17" ht="15.75" customHeight="1">
      <c r="O445" s="16"/>
      <c r="Q445" s="16"/>
    </row>
    <row r="446" spans="15:17" ht="15.75" customHeight="1">
      <c r="O446" s="16"/>
      <c r="Q446" s="16"/>
    </row>
    <row r="447" spans="15:17" ht="15.75" customHeight="1">
      <c r="O447" s="16"/>
      <c r="Q447" s="16"/>
    </row>
    <row r="448" spans="15:17" ht="15.75" customHeight="1">
      <c r="O448" s="16"/>
      <c r="Q448" s="16"/>
    </row>
    <row r="449" spans="15:17" ht="15.75" customHeight="1">
      <c r="O449" s="16"/>
      <c r="Q449" s="16"/>
    </row>
    <row r="450" spans="15:17" ht="15.75" customHeight="1">
      <c r="O450" s="16"/>
      <c r="Q450" s="16"/>
    </row>
    <row r="451" spans="15:17" ht="15.75" customHeight="1">
      <c r="O451" s="16"/>
      <c r="Q451" s="16"/>
    </row>
    <row r="452" spans="15:17" ht="15.75" customHeight="1">
      <c r="O452" s="16"/>
      <c r="Q452" s="16"/>
    </row>
    <row r="453" spans="15:17" ht="15.75" customHeight="1">
      <c r="O453" s="16"/>
      <c r="Q453" s="16"/>
    </row>
    <row r="454" spans="15:17" ht="15.75" customHeight="1">
      <c r="O454" s="16"/>
      <c r="Q454" s="16"/>
    </row>
    <row r="455" spans="15:17" ht="15.75" customHeight="1">
      <c r="O455" s="16"/>
      <c r="Q455" s="16"/>
    </row>
    <row r="456" spans="15:17" ht="15.75" customHeight="1">
      <c r="O456" s="16"/>
      <c r="Q456" s="16"/>
    </row>
    <row r="457" spans="15:17" ht="15.75" customHeight="1">
      <c r="O457" s="16"/>
      <c r="Q457" s="16"/>
    </row>
    <row r="458" spans="15:17" ht="15.75" customHeight="1">
      <c r="O458" s="16"/>
      <c r="Q458" s="16"/>
    </row>
    <row r="459" spans="15:17" ht="15.75" customHeight="1">
      <c r="O459" s="16"/>
      <c r="Q459" s="16"/>
    </row>
    <row r="460" spans="15:17" ht="15.75" customHeight="1">
      <c r="O460" s="16"/>
      <c r="Q460" s="16"/>
    </row>
    <row r="461" spans="15:17" ht="15.75" customHeight="1">
      <c r="O461" s="16"/>
      <c r="Q461" s="16"/>
    </row>
    <row r="462" spans="15:17" ht="15.75" customHeight="1">
      <c r="O462" s="16"/>
      <c r="Q462" s="16"/>
    </row>
    <row r="463" spans="15:17" ht="15.75" customHeight="1">
      <c r="O463" s="16"/>
      <c r="Q463" s="16"/>
    </row>
    <row r="464" spans="15:17" ht="15.75" customHeight="1">
      <c r="O464" s="16"/>
      <c r="Q464" s="16"/>
    </row>
    <row r="465" spans="15:17" ht="15.75" customHeight="1">
      <c r="O465" s="16"/>
      <c r="Q465" s="16"/>
    </row>
    <row r="466" spans="15:17" ht="15.75" customHeight="1">
      <c r="O466" s="16"/>
      <c r="Q466" s="16"/>
    </row>
    <row r="467" spans="15:17" ht="15.75" customHeight="1">
      <c r="O467" s="16"/>
      <c r="Q467" s="16"/>
    </row>
    <row r="468" spans="15:17" ht="15.75" customHeight="1">
      <c r="O468" s="16"/>
      <c r="Q468" s="16"/>
    </row>
    <row r="469" spans="15:17" ht="15.75" customHeight="1">
      <c r="O469" s="16"/>
      <c r="Q469" s="16"/>
    </row>
    <row r="470" spans="15:17" ht="15.75" customHeight="1">
      <c r="O470" s="16"/>
      <c r="Q470" s="16"/>
    </row>
    <row r="471" spans="15:17" ht="15.75" customHeight="1">
      <c r="O471" s="16"/>
      <c r="Q471" s="16"/>
    </row>
    <row r="472" spans="15:17" ht="15.75" customHeight="1">
      <c r="O472" s="16"/>
      <c r="Q472" s="16"/>
    </row>
    <row r="473" spans="15:17" ht="15.75" customHeight="1">
      <c r="O473" s="16"/>
      <c r="Q473" s="16"/>
    </row>
    <row r="474" spans="15:17" ht="15.75" customHeight="1">
      <c r="O474" s="16"/>
      <c r="Q474" s="16"/>
    </row>
    <row r="475" spans="15:17" ht="15.75" customHeight="1">
      <c r="O475" s="16"/>
      <c r="Q475" s="16"/>
    </row>
    <row r="476" spans="15:17" ht="15.75" customHeight="1">
      <c r="O476" s="16"/>
      <c r="Q476" s="16"/>
    </row>
    <row r="477" spans="15:17" ht="15.75" customHeight="1">
      <c r="O477" s="16"/>
      <c r="Q477" s="16"/>
    </row>
    <row r="478" spans="15:17" ht="15.75" customHeight="1">
      <c r="O478" s="16"/>
      <c r="Q478" s="16"/>
    </row>
    <row r="479" spans="15:17" ht="15.75" customHeight="1">
      <c r="O479" s="16"/>
      <c r="Q479" s="16"/>
    </row>
    <row r="480" spans="15:17" ht="15.75" customHeight="1">
      <c r="O480" s="16"/>
      <c r="Q480" s="16"/>
    </row>
    <row r="481" spans="15:17" ht="15.75" customHeight="1">
      <c r="O481" s="16"/>
      <c r="Q481" s="16"/>
    </row>
    <row r="482" spans="15:17" ht="15.75" customHeight="1">
      <c r="O482" s="16"/>
      <c r="Q482" s="16"/>
    </row>
    <row r="483" spans="15:17" ht="15.75" customHeight="1">
      <c r="O483" s="16"/>
      <c r="Q483" s="16"/>
    </row>
    <row r="484" spans="15:17" ht="15.75" customHeight="1">
      <c r="O484" s="16"/>
      <c r="Q484" s="16"/>
    </row>
    <row r="485" spans="15:17" ht="15.75" customHeight="1">
      <c r="O485" s="16"/>
      <c r="Q485" s="16"/>
    </row>
    <row r="486" spans="15:17" ht="15.75" customHeight="1">
      <c r="O486" s="16"/>
      <c r="Q486" s="16"/>
    </row>
    <row r="487" spans="15:17" ht="15.75" customHeight="1">
      <c r="O487" s="16"/>
      <c r="Q487" s="16"/>
    </row>
    <row r="488" spans="15:17" ht="15.75" customHeight="1">
      <c r="O488" s="16"/>
      <c r="Q488" s="16"/>
    </row>
    <row r="489" spans="15:17" ht="15.75" customHeight="1">
      <c r="O489" s="16"/>
      <c r="Q489" s="16"/>
    </row>
    <row r="490" spans="15:17" ht="15.75" customHeight="1">
      <c r="O490" s="16"/>
      <c r="Q490" s="16"/>
    </row>
    <row r="491" spans="15:17" ht="15.75" customHeight="1">
      <c r="O491" s="16"/>
      <c r="Q491" s="16"/>
    </row>
    <row r="492" spans="15:17" ht="15.75" customHeight="1">
      <c r="O492" s="16"/>
      <c r="Q492" s="16"/>
    </row>
    <row r="493" spans="15:17" ht="15.75" customHeight="1">
      <c r="O493" s="16"/>
      <c r="Q493" s="16"/>
    </row>
    <row r="494" spans="15:17" ht="15.75" customHeight="1">
      <c r="O494" s="16"/>
      <c r="Q494" s="16"/>
    </row>
    <row r="495" spans="15:17" ht="15.75" customHeight="1">
      <c r="O495" s="16"/>
      <c r="Q495" s="16"/>
    </row>
    <row r="496" spans="15:17" ht="15.75" customHeight="1">
      <c r="O496" s="16"/>
      <c r="Q496" s="16"/>
    </row>
    <row r="497" spans="15:17" ht="15.75" customHeight="1">
      <c r="O497" s="16"/>
      <c r="Q497" s="16"/>
    </row>
    <row r="498" spans="15:17" ht="15.75" customHeight="1">
      <c r="O498" s="16"/>
      <c r="Q498" s="16"/>
    </row>
    <row r="499" spans="15:17" ht="15.75" customHeight="1">
      <c r="O499" s="16"/>
      <c r="Q499" s="16"/>
    </row>
    <row r="500" spans="15:17" ht="15.75" customHeight="1">
      <c r="O500" s="16"/>
      <c r="Q500" s="16"/>
    </row>
    <row r="501" spans="15:17" ht="15.75" customHeight="1"/>
    <row r="502" spans="15:17" ht="15.75" customHeight="1"/>
    <row r="503" spans="15:17" ht="15.75" customHeight="1"/>
    <row r="504" spans="15:17" ht="15.75" customHeight="1"/>
    <row r="505" spans="15:17" ht="15.75" customHeight="1"/>
    <row r="506" spans="15:17" ht="15.75" customHeight="1"/>
    <row r="507" spans="15:17" ht="15.75" customHeight="1"/>
    <row r="508" spans="15:17" ht="15.75" customHeight="1"/>
    <row r="509" spans="15:17" ht="15.75" customHeight="1"/>
    <row r="510" spans="15:17" ht="15.75" customHeight="1"/>
    <row r="511" spans="15:17" ht="15.75" customHeight="1"/>
    <row r="512" spans="15:17"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75" xr:uid="{00000000-0009-0000-0000-000000000000}"/>
  <mergeCells count="13">
    <mergeCell ref="T12:V12"/>
    <mergeCell ref="T13:V13"/>
    <mergeCell ref="T7:V7"/>
    <mergeCell ref="T11:V11"/>
    <mergeCell ref="T6:V6"/>
    <mergeCell ref="T10:V10"/>
    <mergeCell ref="T2:V2"/>
    <mergeCell ref="T1:V1"/>
    <mergeCell ref="T5:V5"/>
    <mergeCell ref="T9:V9"/>
    <mergeCell ref="T8:V8"/>
    <mergeCell ref="T4:V4"/>
    <mergeCell ref="T3:V3"/>
  </mergeCells>
  <conditionalFormatting sqref="B2:B75">
    <cfRule type="expression" dxfId="45" priority="4">
      <formula>LEFT($B2,LEN("Phase 1"))="Phase 1"</formula>
    </cfRule>
    <cfRule type="expression" dxfId="44" priority="5">
      <formula>LEFT($B2,LEN("Phase 2"))="Phase 2"</formula>
    </cfRule>
    <cfRule type="expression" dxfId="43" priority="6">
      <formula>LEFT($B2,LEN("Phase 3"))="Phase 3"</formula>
    </cfRule>
    <cfRule type="expression" dxfId="42" priority="7">
      <formula>LEFT($B2,LEN("Phase 4"))="Phase 4"</formula>
    </cfRule>
    <cfRule type="expression" dxfId="41" priority="8">
      <formula>LEFT($B2,LEN("Phase 5"))="Phase 5"</formula>
    </cfRule>
    <cfRule type="expression" dxfId="40" priority="9">
      <formula>LEFT($B2,LEN("Phase 6"))="Phase 6"</formula>
    </cfRule>
    <cfRule type="expression" dxfId="39" priority="10">
      <formula>LEFT($B2,LEN("Phase 7"))="Phase 7"</formula>
    </cfRule>
  </conditionalFormatting>
  <conditionalFormatting sqref="C2:C75">
    <cfRule type="expression" dxfId="38" priority="11">
      <formula>ISNUMBER(SEARCH("Day 1",$C2))</formula>
    </cfRule>
    <cfRule type="expression" dxfId="37" priority="12">
      <formula>ISNUMBER(SEARCH("Day 2",$C2))</formula>
    </cfRule>
    <cfRule type="expression" dxfId="36" priority="13">
      <formula>ISNUMBER(SEARCH("Day 3",$C2))</formula>
    </cfRule>
    <cfRule type="expression" dxfId="35" priority="14">
      <formula>ISNUMBER(SEARCH("Day 4",$C2))</formula>
    </cfRule>
    <cfRule type="expression" dxfId="34" priority="15">
      <formula>ISNUMBER(SEARCH("Day 5",$C2))</formula>
    </cfRule>
    <cfRule type="expression" dxfId="33" priority="16">
      <formula>ISNUMBER(SEARCH("Day 6",$C2))</formula>
    </cfRule>
    <cfRule type="expression" dxfId="32" priority="17">
      <formula>ISNUMBER(SEARCH("Day 7",$C2))</formula>
    </cfRule>
    <cfRule type="expression" dxfId="31" priority="18">
      <formula>ISNUMBER(SEARCH("Day 8",$C2))</formula>
    </cfRule>
    <cfRule type="expression" dxfId="30" priority="19">
      <formula>ISNUMBER(SEARCH("Day 9",$C2))</formula>
    </cfRule>
    <cfRule type="expression" dxfId="29" priority="20">
      <formula>ISNUMBER(SEARCH("Day 10",$C2))</formula>
    </cfRule>
    <cfRule type="expression" dxfId="28" priority="21">
      <formula>ISNUMBER(SEARCH("Day 11",$C2))</formula>
    </cfRule>
  </conditionalFormatting>
  <conditionalFormatting sqref="O2:O75">
    <cfRule type="expression" dxfId="27" priority="22">
      <formula>UPPER($O2)="LOW"</formula>
    </cfRule>
    <cfRule type="expression" dxfId="26" priority="23">
      <formula>UPPER($O2)="MEDIUM"</formula>
    </cfRule>
    <cfRule type="expression" dxfId="25" priority="24">
      <formula>UPPER($O2)="HIGH"</formula>
    </cfRule>
  </conditionalFormatting>
  <conditionalFormatting sqref="Q2:Q75">
    <cfRule type="expression" dxfId="24" priority="25">
      <formula>UPPER($Q2)="TODO"</formula>
    </cfRule>
    <cfRule type="expression" dxfId="23" priority="26">
      <formula>UPPER($Q2)="NOT STARTED"</formula>
    </cfRule>
    <cfRule type="expression" dxfId="22" priority="27">
      <formula>UPPER($Q2)="DOING"</formula>
    </cfRule>
    <cfRule type="expression" dxfId="21" priority="28">
      <formula>UPPER($Q2)="IN PROGRESS"</formula>
    </cfRule>
    <cfRule type="expression" dxfId="20" priority="29">
      <formula>UPPER($Q2)="BLOCKED"</formula>
    </cfRule>
    <cfRule type="expression" dxfId="19" priority="30">
      <formula>UPPER($Q2)="DONE"</formula>
    </cfRule>
  </conditionalFormatting>
  <conditionalFormatting sqref="Q2:Q1000">
    <cfRule type="expression" dxfId="18" priority="1">
      <formula>Q2="DONE"</formula>
    </cfRule>
    <cfRule type="expression" dxfId="17" priority="2">
      <formula>Q2="DOING"</formula>
    </cfRule>
    <cfRule type="expression" dxfId="16" priority="3">
      <formula>Q2="BLOCKED"</formula>
    </cfRule>
  </conditionalFormatting>
  <dataValidations count="2">
    <dataValidation type="list" allowBlank="1" sqref="O2:O500" xr:uid="{00000000-0002-0000-0000-000000000000}">
      <formula1>"HIGH,MEDIUM,LOW"</formula1>
    </dataValidation>
    <dataValidation type="list" allowBlank="1" sqref="Q2:Q500" xr:uid="{00000000-0002-0000-0000-000001000000}">
      <formula1>"TODO,DOING,DONE,BLOCKED"</formula1>
    </dataValidation>
  </dataValidations>
  <pageMargins left="0.25" right="0.25" top="0.45" bottom="0.45"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A9D8F"/>
    <pageSetUpPr fitToPage="1"/>
  </sheetPr>
  <dimension ref="A1:K1000"/>
  <sheetViews>
    <sheetView showGridLines="0" topLeftCell="D1" workbookViewId="0">
      <pane ySplit="1" topLeftCell="A2" activePane="bottomLeft" state="frozen"/>
      <selection pane="bottomLeft" activeCell="K9" sqref="K9"/>
    </sheetView>
  </sheetViews>
  <sheetFormatPr defaultColWidth="14.44140625" defaultRowHeight="15" customHeight="1"/>
  <cols>
    <col min="1" max="1" width="15" customWidth="1"/>
    <col min="2" max="2" width="42" customWidth="1"/>
    <col min="3" max="3" width="24" customWidth="1"/>
    <col min="4" max="4" width="28" customWidth="1"/>
    <col min="5" max="5" width="34" customWidth="1"/>
    <col min="6" max="6" width="20" customWidth="1"/>
    <col min="7" max="7" width="18" customWidth="1"/>
    <col min="8" max="8" width="30" customWidth="1"/>
    <col min="9" max="9" width="32" customWidth="1"/>
    <col min="10" max="11" width="30" customWidth="1"/>
    <col min="12" max="26" width="8.6640625" customWidth="1"/>
  </cols>
  <sheetData>
    <row r="1" spans="1:11" ht="37.5" customHeight="1">
      <c r="A1" s="2" t="s">
        <v>370</v>
      </c>
      <c r="B1" s="2" t="s">
        <v>371</v>
      </c>
      <c r="C1" s="2" t="s">
        <v>372</v>
      </c>
      <c r="D1" s="2" t="s">
        <v>373</v>
      </c>
      <c r="E1" s="2" t="s">
        <v>374</v>
      </c>
      <c r="F1" s="2" t="s">
        <v>375</v>
      </c>
      <c r="G1" s="2" t="s">
        <v>376</v>
      </c>
      <c r="H1" s="2" t="s">
        <v>262</v>
      </c>
      <c r="I1" s="2" t="s">
        <v>377</v>
      </c>
      <c r="J1" s="2" t="s">
        <v>378</v>
      </c>
      <c r="K1" s="2" t="s">
        <v>17</v>
      </c>
    </row>
    <row r="2" spans="1:11" ht="14.4" customHeight="1">
      <c r="A2" s="5" t="s">
        <v>379</v>
      </c>
      <c r="B2" s="5" t="s">
        <v>380</v>
      </c>
      <c r="C2" s="5" t="s">
        <v>381</v>
      </c>
      <c r="D2" s="5" t="s">
        <v>382</v>
      </c>
      <c r="E2" s="5" t="s">
        <v>383</v>
      </c>
      <c r="F2" s="7" t="s">
        <v>34</v>
      </c>
      <c r="G2" s="8" t="s">
        <v>384</v>
      </c>
      <c r="H2" s="8" t="s">
        <v>385</v>
      </c>
      <c r="I2" s="8" t="s">
        <v>386</v>
      </c>
      <c r="J2" s="8" t="s">
        <v>387</v>
      </c>
      <c r="K2" s="8"/>
    </row>
    <row r="3" spans="1:11" ht="27.6" customHeight="1">
      <c r="A3" s="5" t="s">
        <v>388</v>
      </c>
      <c r="B3" s="5" t="s">
        <v>389</v>
      </c>
      <c r="C3" s="5" t="s">
        <v>390</v>
      </c>
      <c r="D3" s="5" t="s">
        <v>391</v>
      </c>
      <c r="E3" s="5" t="s">
        <v>392</v>
      </c>
      <c r="F3" s="7" t="s">
        <v>34</v>
      </c>
      <c r="G3" s="8" t="s">
        <v>393</v>
      </c>
      <c r="H3" s="8" t="s">
        <v>394</v>
      </c>
      <c r="I3" s="8" t="s">
        <v>395</v>
      </c>
      <c r="J3" s="8" t="s">
        <v>396</v>
      </c>
      <c r="K3" s="8"/>
    </row>
    <row r="4" spans="1:11" ht="14.4" customHeight="1">
      <c r="A4" s="5" t="s">
        <v>397</v>
      </c>
      <c r="B4" s="5" t="s">
        <v>398</v>
      </c>
      <c r="C4" s="5" t="s">
        <v>399</v>
      </c>
      <c r="D4" s="5" t="s">
        <v>400</v>
      </c>
      <c r="E4" s="5" t="s">
        <v>401</v>
      </c>
      <c r="F4" s="7" t="s">
        <v>34</v>
      </c>
      <c r="G4" s="8" t="s">
        <v>402</v>
      </c>
      <c r="H4" s="8" t="s">
        <v>403</v>
      </c>
      <c r="I4" s="8" t="s">
        <v>404</v>
      </c>
      <c r="J4" s="8" t="s">
        <v>405</v>
      </c>
      <c r="K4" s="8"/>
    </row>
    <row r="5" spans="1:11" ht="27.6" customHeight="1">
      <c r="A5" s="5" t="s">
        <v>406</v>
      </c>
      <c r="B5" s="5" t="s">
        <v>407</v>
      </c>
      <c r="C5" s="5" t="s">
        <v>408</v>
      </c>
      <c r="D5" s="5" t="s">
        <v>409</v>
      </c>
      <c r="E5" s="5" t="s">
        <v>410</v>
      </c>
      <c r="F5" s="7" t="s">
        <v>34</v>
      </c>
      <c r="G5" s="8" t="s">
        <v>411</v>
      </c>
      <c r="H5" s="8" t="s">
        <v>412</v>
      </c>
      <c r="I5" s="8" t="s">
        <v>413</v>
      </c>
      <c r="J5" s="8" t="s">
        <v>414</v>
      </c>
      <c r="K5" s="8"/>
    </row>
    <row r="6" spans="1:11" ht="14.4" customHeight="1">
      <c r="A6" s="5" t="s">
        <v>415</v>
      </c>
      <c r="B6" s="5" t="s">
        <v>416</v>
      </c>
      <c r="C6" s="5" t="s">
        <v>417</v>
      </c>
      <c r="D6" s="5" t="s">
        <v>418</v>
      </c>
      <c r="E6" s="5" t="s">
        <v>419</v>
      </c>
      <c r="F6" s="7" t="s">
        <v>34</v>
      </c>
      <c r="G6" s="8" t="s">
        <v>420</v>
      </c>
      <c r="H6" s="8" t="s">
        <v>421</v>
      </c>
      <c r="I6" s="8" t="s">
        <v>422</v>
      </c>
      <c r="J6" s="8" t="s">
        <v>423</v>
      </c>
      <c r="K6" s="8"/>
    </row>
    <row r="7" spans="1:11" ht="14.4" customHeight="1">
      <c r="A7" s="5" t="s">
        <v>424</v>
      </c>
      <c r="B7" s="5" t="s">
        <v>425</v>
      </c>
      <c r="C7" s="5" t="s">
        <v>426</v>
      </c>
      <c r="D7" s="5" t="s">
        <v>427</v>
      </c>
      <c r="E7" s="5" t="s">
        <v>428</v>
      </c>
      <c r="F7" s="7" t="s">
        <v>34</v>
      </c>
      <c r="G7" s="8" t="s">
        <v>429</v>
      </c>
      <c r="H7" s="8" t="s">
        <v>430</v>
      </c>
      <c r="I7" s="8" t="s">
        <v>431</v>
      </c>
      <c r="J7" s="8" t="s">
        <v>432</v>
      </c>
      <c r="K7" s="8" t="s">
        <v>433</v>
      </c>
    </row>
    <row r="8" spans="1:11" ht="14.4" customHeight="1">
      <c r="A8" s="5" t="s">
        <v>434</v>
      </c>
      <c r="B8" s="5" t="s">
        <v>435</v>
      </c>
      <c r="C8" s="5" t="s">
        <v>436</v>
      </c>
      <c r="D8" s="5" t="s">
        <v>437</v>
      </c>
      <c r="E8" s="5" t="s">
        <v>438</v>
      </c>
      <c r="F8" s="7" t="s">
        <v>34</v>
      </c>
      <c r="G8" s="8" t="s">
        <v>439</v>
      </c>
      <c r="H8" s="8" t="s">
        <v>440</v>
      </c>
      <c r="I8" s="8" t="s">
        <v>441</v>
      </c>
      <c r="J8" s="8" t="s">
        <v>442</v>
      </c>
      <c r="K8" s="8" t="s">
        <v>443</v>
      </c>
    </row>
    <row r="9" spans="1:11" ht="14.4" customHeight="1">
      <c r="A9" s="5" t="s">
        <v>444</v>
      </c>
      <c r="B9" s="5" t="s">
        <v>123</v>
      </c>
      <c r="C9" s="5" t="s">
        <v>445</v>
      </c>
      <c r="D9" s="5" t="s">
        <v>446</v>
      </c>
      <c r="E9" s="5" t="s">
        <v>447</v>
      </c>
      <c r="F9" s="7" t="s">
        <v>34</v>
      </c>
      <c r="G9" s="8" t="s">
        <v>393</v>
      </c>
      <c r="H9" s="8" t="s">
        <v>448</v>
      </c>
      <c r="I9" s="8" t="s">
        <v>449</v>
      </c>
      <c r="J9" s="8" t="s">
        <v>450</v>
      </c>
      <c r="K9" s="8" t="s">
        <v>451</v>
      </c>
    </row>
    <row r="10" spans="1:11" ht="14.4" customHeight="1">
      <c r="A10" s="5" t="s">
        <v>452</v>
      </c>
      <c r="B10" s="5" t="s">
        <v>453</v>
      </c>
      <c r="C10" s="5" t="s">
        <v>390</v>
      </c>
      <c r="D10" s="5" t="s">
        <v>454</v>
      </c>
      <c r="E10" s="5" t="s">
        <v>455</v>
      </c>
      <c r="F10" s="7" t="s">
        <v>34</v>
      </c>
      <c r="G10" s="8" t="s">
        <v>456</v>
      </c>
      <c r="H10" s="8" t="s">
        <v>457</v>
      </c>
      <c r="I10" s="8" t="s">
        <v>458</v>
      </c>
      <c r="J10" s="8" t="s">
        <v>459</v>
      </c>
      <c r="K10" s="8"/>
    </row>
    <row r="11" spans="1:11" ht="14.4" customHeight="1">
      <c r="A11" s="5" t="s">
        <v>460</v>
      </c>
      <c r="B11" s="5" t="s">
        <v>461</v>
      </c>
      <c r="C11" s="5" t="s">
        <v>462</v>
      </c>
      <c r="D11" s="5" t="s">
        <v>463</v>
      </c>
      <c r="E11" s="5" t="s">
        <v>464</v>
      </c>
      <c r="F11" s="7" t="s">
        <v>34</v>
      </c>
      <c r="G11" s="8" t="s">
        <v>465</v>
      </c>
      <c r="H11" s="8" t="s">
        <v>466</v>
      </c>
      <c r="I11" s="8" t="s">
        <v>467</v>
      </c>
      <c r="J11" s="8" t="s">
        <v>468</v>
      </c>
      <c r="K11" s="8"/>
    </row>
    <row r="12" spans="1:11" ht="14.4" customHeight="1">
      <c r="F12" s="16"/>
    </row>
    <row r="13" spans="1:11" ht="14.4" customHeight="1">
      <c r="F13" s="16"/>
    </row>
    <row r="14" spans="1:11" ht="14.4" customHeight="1">
      <c r="F14" s="16"/>
    </row>
    <row r="15" spans="1:11" ht="14.4" customHeight="1">
      <c r="F15" s="16"/>
    </row>
    <row r="16" spans="1:11" ht="14.4" customHeight="1">
      <c r="F16" s="16"/>
    </row>
    <row r="17" spans="6:6" ht="14.4" customHeight="1">
      <c r="F17" s="16"/>
    </row>
    <row r="18" spans="6:6" ht="14.4" customHeight="1">
      <c r="F18" s="16"/>
    </row>
    <row r="19" spans="6:6" ht="14.4" customHeight="1">
      <c r="F19" s="16"/>
    </row>
    <row r="20" spans="6:6" ht="14.4" customHeight="1">
      <c r="F20" s="16"/>
    </row>
    <row r="21" spans="6:6" ht="15.75" customHeight="1">
      <c r="F21" s="16"/>
    </row>
    <row r="22" spans="6:6" ht="15.75" customHeight="1">
      <c r="F22" s="16"/>
    </row>
    <row r="23" spans="6:6" ht="15.75" customHeight="1">
      <c r="F23" s="16"/>
    </row>
    <row r="24" spans="6:6" ht="15.75" customHeight="1">
      <c r="F24" s="16"/>
    </row>
    <row r="25" spans="6:6" ht="15.75" customHeight="1">
      <c r="F25" s="16"/>
    </row>
    <row r="26" spans="6:6" ht="15.75" customHeight="1">
      <c r="F26" s="16"/>
    </row>
    <row r="27" spans="6:6" ht="15.75" customHeight="1">
      <c r="F27" s="16"/>
    </row>
    <row r="28" spans="6:6" ht="15.75" customHeight="1">
      <c r="F28" s="16"/>
    </row>
    <row r="29" spans="6:6" ht="15.75" customHeight="1">
      <c r="F29" s="16"/>
    </row>
    <row r="30" spans="6:6" ht="15.75" customHeight="1">
      <c r="F30" s="16"/>
    </row>
    <row r="31" spans="6:6" ht="15.75" customHeight="1">
      <c r="F31" s="16"/>
    </row>
    <row r="32" spans="6:6" ht="15.75" customHeight="1">
      <c r="F32" s="16"/>
    </row>
    <row r="33" spans="6:6" ht="15.75" customHeight="1">
      <c r="F33" s="16"/>
    </row>
    <row r="34" spans="6:6" ht="15.75" customHeight="1">
      <c r="F34" s="16"/>
    </row>
    <row r="35" spans="6:6" ht="15.75" customHeight="1">
      <c r="F35" s="16"/>
    </row>
    <row r="36" spans="6:6" ht="15.75" customHeight="1">
      <c r="F36" s="16"/>
    </row>
    <row r="37" spans="6:6" ht="15.75" customHeight="1">
      <c r="F37" s="16"/>
    </row>
    <row r="38" spans="6:6" ht="15.75" customHeight="1">
      <c r="F38" s="16"/>
    </row>
    <row r="39" spans="6:6" ht="15.75" customHeight="1">
      <c r="F39" s="16"/>
    </row>
    <row r="40" spans="6:6" ht="15.75" customHeight="1">
      <c r="F40" s="16"/>
    </row>
    <row r="41" spans="6:6" ht="15.75" customHeight="1">
      <c r="F41" s="16"/>
    </row>
    <row r="42" spans="6:6" ht="15.75" customHeight="1">
      <c r="F42" s="16"/>
    </row>
    <row r="43" spans="6:6" ht="15.75" customHeight="1">
      <c r="F43" s="16"/>
    </row>
    <row r="44" spans="6:6" ht="15.75" customHeight="1">
      <c r="F44" s="16"/>
    </row>
    <row r="45" spans="6:6" ht="15.75" customHeight="1">
      <c r="F45" s="16"/>
    </row>
    <row r="46" spans="6:6" ht="15.75" customHeight="1">
      <c r="F46" s="16"/>
    </row>
    <row r="47" spans="6:6" ht="15.75" customHeight="1">
      <c r="F47" s="16"/>
    </row>
    <row r="48" spans="6:6" ht="15.75" customHeight="1">
      <c r="F48" s="16"/>
    </row>
    <row r="49" spans="6:6" ht="15.75" customHeight="1">
      <c r="F49" s="16"/>
    </row>
    <row r="50" spans="6:6" ht="15.75" customHeight="1">
      <c r="F50" s="16"/>
    </row>
    <row r="51" spans="6:6" ht="15.75" customHeight="1">
      <c r="F51" s="16"/>
    </row>
    <row r="52" spans="6:6" ht="15.75" customHeight="1">
      <c r="F52" s="16"/>
    </row>
    <row r="53" spans="6:6" ht="15.75" customHeight="1">
      <c r="F53" s="16"/>
    </row>
    <row r="54" spans="6:6" ht="15.75" customHeight="1">
      <c r="F54" s="16"/>
    </row>
    <row r="55" spans="6:6" ht="15.75" customHeight="1">
      <c r="F55" s="16"/>
    </row>
    <row r="56" spans="6:6" ht="15.75" customHeight="1">
      <c r="F56" s="16"/>
    </row>
    <row r="57" spans="6:6" ht="15.75" customHeight="1">
      <c r="F57" s="16"/>
    </row>
    <row r="58" spans="6:6" ht="15.75" customHeight="1">
      <c r="F58" s="16"/>
    </row>
    <row r="59" spans="6:6" ht="15.75" customHeight="1">
      <c r="F59" s="16"/>
    </row>
    <row r="60" spans="6:6" ht="15.75" customHeight="1">
      <c r="F60" s="16"/>
    </row>
    <row r="61" spans="6:6" ht="15.75" customHeight="1">
      <c r="F61" s="16"/>
    </row>
    <row r="62" spans="6:6" ht="15.75" customHeight="1">
      <c r="F62" s="16"/>
    </row>
    <row r="63" spans="6:6" ht="15.75" customHeight="1">
      <c r="F63" s="16"/>
    </row>
    <row r="64" spans="6:6" ht="15.75" customHeight="1">
      <c r="F64" s="16"/>
    </row>
    <row r="65" spans="6:6" ht="15.75" customHeight="1">
      <c r="F65" s="16"/>
    </row>
    <row r="66" spans="6:6" ht="15.75" customHeight="1">
      <c r="F66" s="16"/>
    </row>
    <row r="67" spans="6:6" ht="15.75" customHeight="1">
      <c r="F67" s="16"/>
    </row>
    <row r="68" spans="6:6" ht="15.75" customHeight="1">
      <c r="F68" s="16"/>
    </row>
    <row r="69" spans="6:6" ht="15.75" customHeight="1">
      <c r="F69" s="16"/>
    </row>
    <row r="70" spans="6:6" ht="15.75" customHeight="1">
      <c r="F70" s="16"/>
    </row>
    <row r="71" spans="6:6" ht="15.75" customHeight="1">
      <c r="F71" s="16"/>
    </row>
    <row r="72" spans="6:6" ht="15.75" customHeight="1">
      <c r="F72" s="16"/>
    </row>
    <row r="73" spans="6:6" ht="15.75" customHeight="1">
      <c r="F73" s="16"/>
    </row>
    <row r="74" spans="6:6" ht="15.75" customHeight="1">
      <c r="F74" s="16"/>
    </row>
    <row r="75" spans="6:6" ht="15.75" customHeight="1">
      <c r="F75" s="16"/>
    </row>
    <row r="76" spans="6:6" ht="15.75" customHeight="1">
      <c r="F76" s="16"/>
    </row>
    <row r="77" spans="6:6" ht="15.75" customHeight="1">
      <c r="F77" s="16"/>
    </row>
    <row r="78" spans="6:6" ht="15.75" customHeight="1">
      <c r="F78" s="16"/>
    </row>
    <row r="79" spans="6:6" ht="15.75" customHeight="1">
      <c r="F79" s="16"/>
    </row>
    <row r="80" spans="6:6" ht="15.75" customHeight="1">
      <c r="F80" s="16"/>
    </row>
    <row r="81" spans="6:6" ht="15.75" customHeight="1">
      <c r="F81" s="16"/>
    </row>
    <row r="82" spans="6:6" ht="15.75" customHeight="1">
      <c r="F82" s="16"/>
    </row>
    <row r="83" spans="6:6" ht="15.75" customHeight="1">
      <c r="F83" s="16"/>
    </row>
    <row r="84" spans="6:6" ht="15.75" customHeight="1">
      <c r="F84" s="16"/>
    </row>
    <row r="85" spans="6:6" ht="15.75" customHeight="1">
      <c r="F85" s="16"/>
    </row>
    <row r="86" spans="6:6" ht="15.75" customHeight="1">
      <c r="F86" s="16"/>
    </row>
    <row r="87" spans="6:6" ht="15.75" customHeight="1">
      <c r="F87" s="16"/>
    </row>
    <row r="88" spans="6:6" ht="15.75" customHeight="1">
      <c r="F88" s="16"/>
    </row>
    <row r="89" spans="6:6" ht="15.75" customHeight="1">
      <c r="F89" s="16"/>
    </row>
    <row r="90" spans="6:6" ht="15.75" customHeight="1">
      <c r="F90" s="16"/>
    </row>
    <row r="91" spans="6:6" ht="15.75" customHeight="1">
      <c r="F91" s="16"/>
    </row>
    <row r="92" spans="6:6" ht="15.75" customHeight="1">
      <c r="F92" s="16"/>
    </row>
    <row r="93" spans="6:6" ht="15.75" customHeight="1">
      <c r="F93" s="16"/>
    </row>
    <row r="94" spans="6:6" ht="15.75" customHeight="1">
      <c r="F94" s="16"/>
    </row>
    <row r="95" spans="6:6" ht="15.75" customHeight="1">
      <c r="F95" s="16"/>
    </row>
    <row r="96" spans="6:6" ht="15.75" customHeight="1">
      <c r="F96" s="16"/>
    </row>
    <row r="97" spans="6:6" ht="15.75" customHeight="1">
      <c r="F97" s="16"/>
    </row>
    <row r="98" spans="6:6" ht="15.75" customHeight="1">
      <c r="F98" s="16"/>
    </row>
    <row r="99" spans="6:6" ht="15.75" customHeight="1">
      <c r="F99" s="16"/>
    </row>
    <row r="100" spans="6:6" ht="15.75" customHeight="1">
      <c r="F100" s="16"/>
    </row>
    <row r="101" spans="6:6" ht="15.75" customHeight="1">
      <c r="F101" s="16"/>
    </row>
    <row r="102" spans="6:6" ht="15.75" customHeight="1">
      <c r="F102" s="16"/>
    </row>
    <row r="103" spans="6:6" ht="15.75" customHeight="1">
      <c r="F103" s="16"/>
    </row>
    <row r="104" spans="6:6" ht="15.75" customHeight="1">
      <c r="F104" s="16"/>
    </row>
    <row r="105" spans="6:6" ht="15.75" customHeight="1">
      <c r="F105" s="16"/>
    </row>
    <row r="106" spans="6:6" ht="15.75" customHeight="1">
      <c r="F106" s="16"/>
    </row>
    <row r="107" spans="6:6" ht="15.75" customHeight="1">
      <c r="F107" s="16"/>
    </row>
    <row r="108" spans="6:6" ht="15.75" customHeight="1">
      <c r="F108" s="16"/>
    </row>
    <row r="109" spans="6:6" ht="15.75" customHeight="1">
      <c r="F109" s="16"/>
    </row>
    <row r="110" spans="6:6" ht="15.75" customHeight="1">
      <c r="F110" s="16"/>
    </row>
    <row r="111" spans="6:6" ht="15.75" customHeight="1">
      <c r="F111" s="16"/>
    </row>
    <row r="112" spans="6:6" ht="15.75" customHeight="1">
      <c r="F112" s="16"/>
    </row>
    <row r="113" spans="6:6" ht="15.75" customHeight="1">
      <c r="F113" s="16"/>
    </row>
    <row r="114" spans="6:6" ht="15.75" customHeight="1">
      <c r="F114" s="16"/>
    </row>
    <row r="115" spans="6:6" ht="15.75" customHeight="1">
      <c r="F115" s="16"/>
    </row>
    <row r="116" spans="6:6" ht="15.75" customHeight="1">
      <c r="F116" s="16"/>
    </row>
    <row r="117" spans="6:6" ht="15.75" customHeight="1">
      <c r="F117" s="16"/>
    </row>
    <row r="118" spans="6:6" ht="15.75" customHeight="1">
      <c r="F118" s="16"/>
    </row>
    <row r="119" spans="6:6" ht="15.75" customHeight="1">
      <c r="F119" s="16"/>
    </row>
    <row r="120" spans="6:6" ht="15.75" customHeight="1">
      <c r="F120" s="16"/>
    </row>
    <row r="121" spans="6:6" ht="15.75" customHeight="1">
      <c r="F121" s="16"/>
    </row>
    <row r="122" spans="6:6" ht="15.75" customHeight="1">
      <c r="F122" s="16"/>
    </row>
    <row r="123" spans="6:6" ht="15.75" customHeight="1">
      <c r="F123" s="16"/>
    </row>
    <row r="124" spans="6:6" ht="15.75" customHeight="1">
      <c r="F124" s="16"/>
    </row>
    <row r="125" spans="6:6" ht="15.75" customHeight="1">
      <c r="F125" s="16"/>
    </row>
    <row r="126" spans="6:6" ht="15.75" customHeight="1">
      <c r="F126" s="16"/>
    </row>
    <row r="127" spans="6:6" ht="15.75" customHeight="1">
      <c r="F127" s="16"/>
    </row>
    <row r="128" spans="6:6" ht="15.75" customHeight="1">
      <c r="F128" s="16"/>
    </row>
    <row r="129" spans="6:6" ht="15.75" customHeight="1">
      <c r="F129" s="16"/>
    </row>
    <row r="130" spans="6:6" ht="15.75" customHeight="1">
      <c r="F130" s="16"/>
    </row>
    <row r="131" spans="6:6" ht="15.75" customHeight="1">
      <c r="F131" s="16"/>
    </row>
    <row r="132" spans="6:6" ht="15.75" customHeight="1">
      <c r="F132" s="16"/>
    </row>
    <row r="133" spans="6:6" ht="15.75" customHeight="1">
      <c r="F133" s="16"/>
    </row>
    <row r="134" spans="6:6" ht="15.75" customHeight="1">
      <c r="F134" s="16"/>
    </row>
    <row r="135" spans="6:6" ht="15.75" customHeight="1">
      <c r="F135" s="16"/>
    </row>
    <row r="136" spans="6:6" ht="15.75" customHeight="1">
      <c r="F136" s="16"/>
    </row>
    <row r="137" spans="6:6" ht="15.75" customHeight="1">
      <c r="F137" s="16"/>
    </row>
    <row r="138" spans="6:6" ht="15.75" customHeight="1">
      <c r="F138" s="16"/>
    </row>
    <row r="139" spans="6:6" ht="15.75" customHeight="1">
      <c r="F139" s="16"/>
    </row>
    <row r="140" spans="6:6" ht="15.75" customHeight="1">
      <c r="F140" s="16"/>
    </row>
    <row r="141" spans="6:6" ht="15.75" customHeight="1">
      <c r="F141" s="16"/>
    </row>
    <row r="142" spans="6:6" ht="15.75" customHeight="1">
      <c r="F142" s="16"/>
    </row>
    <row r="143" spans="6:6" ht="15.75" customHeight="1">
      <c r="F143" s="16"/>
    </row>
    <row r="144" spans="6:6" ht="15.75" customHeight="1">
      <c r="F144" s="16"/>
    </row>
    <row r="145" spans="6:6" ht="15.75" customHeight="1">
      <c r="F145" s="16"/>
    </row>
    <row r="146" spans="6:6" ht="15.75" customHeight="1">
      <c r="F146" s="16"/>
    </row>
    <row r="147" spans="6:6" ht="15.75" customHeight="1">
      <c r="F147" s="16"/>
    </row>
    <row r="148" spans="6:6" ht="15.75" customHeight="1">
      <c r="F148" s="16"/>
    </row>
    <row r="149" spans="6:6" ht="15.75" customHeight="1">
      <c r="F149" s="16"/>
    </row>
    <row r="150" spans="6:6" ht="15.75" customHeight="1">
      <c r="F150" s="16"/>
    </row>
    <row r="151" spans="6:6" ht="15.75" customHeight="1">
      <c r="F151" s="16"/>
    </row>
    <row r="152" spans="6:6" ht="15.75" customHeight="1">
      <c r="F152" s="16"/>
    </row>
    <row r="153" spans="6:6" ht="15.75" customHeight="1">
      <c r="F153" s="16"/>
    </row>
    <row r="154" spans="6:6" ht="15.75" customHeight="1">
      <c r="F154" s="16"/>
    </row>
    <row r="155" spans="6:6" ht="15.75" customHeight="1">
      <c r="F155" s="16"/>
    </row>
    <row r="156" spans="6:6" ht="15.75" customHeight="1">
      <c r="F156" s="16"/>
    </row>
    <row r="157" spans="6:6" ht="15.75" customHeight="1">
      <c r="F157" s="16"/>
    </row>
    <row r="158" spans="6:6" ht="15.75" customHeight="1">
      <c r="F158" s="16"/>
    </row>
    <row r="159" spans="6:6" ht="15.75" customHeight="1">
      <c r="F159" s="16"/>
    </row>
    <row r="160" spans="6:6" ht="15.75" customHeight="1">
      <c r="F160" s="16"/>
    </row>
    <row r="161" spans="6:6" ht="15.75" customHeight="1">
      <c r="F161" s="16"/>
    </row>
    <row r="162" spans="6:6" ht="15.75" customHeight="1">
      <c r="F162" s="16"/>
    </row>
    <row r="163" spans="6:6" ht="15.75" customHeight="1">
      <c r="F163" s="16"/>
    </row>
    <row r="164" spans="6:6" ht="15.75" customHeight="1">
      <c r="F164" s="16"/>
    </row>
    <row r="165" spans="6:6" ht="15.75" customHeight="1">
      <c r="F165" s="16"/>
    </row>
    <row r="166" spans="6:6" ht="15.75" customHeight="1">
      <c r="F166" s="16"/>
    </row>
    <row r="167" spans="6:6" ht="15.75" customHeight="1">
      <c r="F167" s="16"/>
    </row>
    <row r="168" spans="6:6" ht="15.75" customHeight="1">
      <c r="F168" s="16"/>
    </row>
    <row r="169" spans="6:6" ht="15.75" customHeight="1">
      <c r="F169" s="16"/>
    </row>
    <row r="170" spans="6:6" ht="15.75" customHeight="1">
      <c r="F170" s="16"/>
    </row>
    <row r="171" spans="6:6" ht="15.75" customHeight="1">
      <c r="F171" s="16"/>
    </row>
    <row r="172" spans="6:6" ht="15.75" customHeight="1">
      <c r="F172" s="16"/>
    </row>
    <row r="173" spans="6:6" ht="15.75" customHeight="1">
      <c r="F173" s="16"/>
    </row>
    <row r="174" spans="6:6" ht="15.75" customHeight="1">
      <c r="F174" s="16"/>
    </row>
    <row r="175" spans="6:6" ht="15.75" customHeight="1">
      <c r="F175" s="16"/>
    </row>
    <row r="176" spans="6:6" ht="15.75" customHeight="1">
      <c r="F176" s="16"/>
    </row>
    <row r="177" spans="6:6" ht="15.75" customHeight="1">
      <c r="F177" s="16"/>
    </row>
    <row r="178" spans="6:6" ht="15.75" customHeight="1">
      <c r="F178" s="16"/>
    </row>
    <row r="179" spans="6:6" ht="15.75" customHeight="1">
      <c r="F179" s="16"/>
    </row>
    <row r="180" spans="6:6" ht="15.75" customHeight="1">
      <c r="F180" s="16"/>
    </row>
    <row r="181" spans="6:6" ht="15.75" customHeight="1">
      <c r="F181" s="16"/>
    </row>
    <row r="182" spans="6:6" ht="15.75" customHeight="1">
      <c r="F182" s="16"/>
    </row>
    <row r="183" spans="6:6" ht="15.75" customHeight="1">
      <c r="F183" s="16"/>
    </row>
    <row r="184" spans="6:6" ht="15.75" customHeight="1">
      <c r="F184" s="16"/>
    </row>
    <row r="185" spans="6:6" ht="15.75" customHeight="1">
      <c r="F185" s="16"/>
    </row>
    <row r="186" spans="6:6" ht="15.75" customHeight="1">
      <c r="F186" s="16"/>
    </row>
    <row r="187" spans="6:6" ht="15.75" customHeight="1">
      <c r="F187" s="16"/>
    </row>
    <row r="188" spans="6:6" ht="15.75" customHeight="1">
      <c r="F188" s="16"/>
    </row>
    <row r="189" spans="6:6" ht="15.75" customHeight="1">
      <c r="F189" s="16"/>
    </row>
    <row r="190" spans="6:6" ht="15.75" customHeight="1">
      <c r="F190" s="16"/>
    </row>
    <row r="191" spans="6:6" ht="15.75" customHeight="1">
      <c r="F191" s="16"/>
    </row>
    <row r="192" spans="6:6" ht="15.75" customHeight="1">
      <c r="F192" s="16"/>
    </row>
    <row r="193" spans="6:6" ht="15.75" customHeight="1">
      <c r="F193" s="16"/>
    </row>
    <row r="194" spans="6:6" ht="15.75" customHeight="1">
      <c r="F194" s="16"/>
    </row>
    <row r="195" spans="6:6" ht="15.75" customHeight="1">
      <c r="F195" s="16"/>
    </row>
    <row r="196" spans="6:6" ht="15.75" customHeight="1">
      <c r="F196" s="16"/>
    </row>
    <row r="197" spans="6:6" ht="15.75" customHeight="1">
      <c r="F197" s="16"/>
    </row>
    <row r="198" spans="6:6" ht="15.75" customHeight="1">
      <c r="F198" s="16"/>
    </row>
    <row r="199" spans="6:6" ht="15.75" customHeight="1">
      <c r="F199" s="16"/>
    </row>
    <row r="200" spans="6:6" ht="15.75" customHeight="1">
      <c r="F200" s="16"/>
    </row>
    <row r="201" spans="6:6" ht="15.75" customHeight="1">
      <c r="F201" s="16"/>
    </row>
    <row r="202" spans="6:6" ht="15.75" customHeight="1">
      <c r="F202" s="16"/>
    </row>
    <row r="203" spans="6:6" ht="15.75" customHeight="1">
      <c r="F203" s="16"/>
    </row>
    <row r="204" spans="6:6" ht="15.75" customHeight="1">
      <c r="F204" s="16"/>
    </row>
    <row r="205" spans="6:6" ht="15.75" customHeight="1">
      <c r="F205" s="16"/>
    </row>
    <row r="206" spans="6:6" ht="15.75" customHeight="1">
      <c r="F206" s="16"/>
    </row>
    <row r="207" spans="6:6" ht="15.75" customHeight="1">
      <c r="F207" s="16"/>
    </row>
    <row r="208" spans="6:6" ht="15.75" customHeight="1">
      <c r="F208" s="16"/>
    </row>
    <row r="209" spans="6:6" ht="15.75" customHeight="1">
      <c r="F209" s="16"/>
    </row>
    <row r="210" spans="6:6" ht="15.75" customHeight="1">
      <c r="F210" s="16"/>
    </row>
    <row r="211" spans="6:6" ht="15.75" customHeight="1">
      <c r="F211" s="16"/>
    </row>
    <row r="212" spans="6:6" ht="15.75" customHeight="1">
      <c r="F212" s="16"/>
    </row>
    <row r="213" spans="6:6" ht="15.75" customHeight="1">
      <c r="F213" s="16"/>
    </row>
    <row r="214" spans="6:6" ht="15.75" customHeight="1">
      <c r="F214" s="16"/>
    </row>
    <row r="215" spans="6:6" ht="15.75" customHeight="1">
      <c r="F215" s="16"/>
    </row>
    <row r="216" spans="6:6" ht="15.75" customHeight="1">
      <c r="F216" s="16"/>
    </row>
    <row r="217" spans="6:6" ht="15.75" customHeight="1">
      <c r="F217" s="16"/>
    </row>
    <row r="218" spans="6:6" ht="15.75" customHeight="1">
      <c r="F218" s="16"/>
    </row>
    <row r="219" spans="6:6" ht="15.75" customHeight="1">
      <c r="F219" s="16"/>
    </row>
    <row r="220" spans="6:6" ht="15.75" customHeight="1">
      <c r="F220" s="16"/>
    </row>
    <row r="221" spans="6:6" ht="15.75" customHeight="1">
      <c r="F221" s="16"/>
    </row>
    <row r="222" spans="6:6" ht="15.75" customHeight="1">
      <c r="F222" s="16"/>
    </row>
    <row r="223" spans="6:6" ht="15.75" customHeight="1">
      <c r="F223" s="16"/>
    </row>
    <row r="224" spans="6:6" ht="15.75" customHeight="1">
      <c r="F224" s="16"/>
    </row>
    <row r="225" spans="6:6" ht="15.75" customHeight="1">
      <c r="F225" s="16"/>
    </row>
    <row r="226" spans="6:6" ht="15.75" customHeight="1">
      <c r="F226" s="16"/>
    </row>
    <row r="227" spans="6:6" ht="15.75" customHeight="1">
      <c r="F227" s="16"/>
    </row>
    <row r="228" spans="6:6" ht="15.75" customHeight="1">
      <c r="F228" s="16"/>
    </row>
    <row r="229" spans="6:6" ht="15.75" customHeight="1">
      <c r="F229" s="16"/>
    </row>
    <row r="230" spans="6:6" ht="15.75" customHeight="1">
      <c r="F230" s="16"/>
    </row>
    <row r="231" spans="6:6" ht="15.75" customHeight="1">
      <c r="F231" s="16"/>
    </row>
    <row r="232" spans="6:6" ht="15.75" customHeight="1">
      <c r="F232" s="16"/>
    </row>
    <row r="233" spans="6:6" ht="15.75" customHeight="1">
      <c r="F233" s="16"/>
    </row>
    <row r="234" spans="6:6" ht="15.75" customHeight="1">
      <c r="F234" s="16"/>
    </row>
    <row r="235" spans="6:6" ht="15.75" customHeight="1">
      <c r="F235" s="16"/>
    </row>
    <row r="236" spans="6:6" ht="15.75" customHeight="1">
      <c r="F236" s="16"/>
    </row>
    <row r="237" spans="6:6" ht="15.75" customHeight="1">
      <c r="F237" s="16"/>
    </row>
    <row r="238" spans="6:6" ht="15.75" customHeight="1">
      <c r="F238" s="16"/>
    </row>
    <row r="239" spans="6:6" ht="15.75" customHeight="1">
      <c r="F239" s="16"/>
    </row>
    <row r="240" spans="6:6" ht="15.75" customHeight="1">
      <c r="F240" s="16"/>
    </row>
    <row r="241" spans="6:6" ht="15.75" customHeight="1">
      <c r="F241" s="16"/>
    </row>
    <row r="242" spans="6:6" ht="15.75" customHeight="1">
      <c r="F242" s="16"/>
    </row>
    <row r="243" spans="6:6" ht="15.75" customHeight="1">
      <c r="F243" s="16"/>
    </row>
    <row r="244" spans="6:6" ht="15.75" customHeight="1">
      <c r="F244" s="16"/>
    </row>
    <row r="245" spans="6:6" ht="15.75" customHeight="1">
      <c r="F245" s="16"/>
    </row>
    <row r="246" spans="6:6" ht="15.75" customHeight="1">
      <c r="F246" s="16"/>
    </row>
    <row r="247" spans="6:6" ht="15.75" customHeight="1">
      <c r="F247" s="16"/>
    </row>
    <row r="248" spans="6:6" ht="15.75" customHeight="1">
      <c r="F248" s="16"/>
    </row>
    <row r="249" spans="6:6" ht="15.75" customHeight="1">
      <c r="F249" s="16"/>
    </row>
    <row r="250" spans="6:6" ht="15.75" customHeight="1">
      <c r="F250" s="16"/>
    </row>
    <row r="251" spans="6:6" ht="15.75" customHeight="1">
      <c r="F251" s="16"/>
    </row>
    <row r="252" spans="6:6" ht="15.75" customHeight="1">
      <c r="F252" s="16"/>
    </row>
    <row r="253" spans="6:6" ht="15.75" customHeight="1">
      <c r="F253" s="16"/>
    </row>
    <row r="254" spans="6:6" ht="15.75" customHeight="1">
      <c r="F254" s="16"/>
    </row>
    <row r="255" spans="6:6" ht="15.75" customHeight="1">
      <c r="F255" s="16"/>
    </row>
    <row r="256" spans="6:6" ht="15.75" customHeight="1">
      <c r="F256" s="16"/>
    </row>
    <row r="257" spans="6:6" ht="15.75" customHeight="1">
      <c r="F257" s="16"/>
    </row>
    <row r="258" spans="6:6" ht="15.75" customHeight="1">
      <c r="F258" s="16"/>
    </row>
    <row r="259" spans="6:6" ht="15.75" customHeight="1">
      <c r="F259" s="16"/>
    </row>
    <row r="260" spans="6:6" ht="15.75" customHeight="1">
      <c r="F260" s="16"/>
    </row>
    <row r="261" spans="6:6" ht="15.75" customHeight="1">
      <c r="F261" s="16"/>
    </row>
    <row r="262" spans="6:6" ht="15.75" customHeight="1">
      <c r="F262" s="16"/>
    </row>
    <row r="263" spans="6:6" ht="15.75" customHeight="1">
      <c r="F263" s="16"/>
    </row>
    <row r="264" spans="6:6" ht="15.75" customHeight="1">
      <c r="F264" s="16"/>
    </row>
    <row r="265" spans="6:6" ht="15.75" customHeight="1">
      <c r="F265" s="16"/>
    </row>
    <row r="266" spans="6:6" ht="15.75" customHeight="1">
      <c r="F266" s="16"/>
    </row>
    <row r="267" spans="6:6" ht="15.75" customHeight="1">
      <c r="F267" s="16"/>
    </row>
    <row r="268" spans="6:6" ht="15.75" customHeight="1">
      <c r="F268" s="16"/>
    </row>
    <row r="269" spans="6:6" ht="15.75" customHeight="1">
      <c r="F269" s="16"/>
    </row>
    <row r="270" spans="6:6" ht="15.75" customHeight="1">
      <c r="F270" s="16"/>
    </row>
    <row r="271" spans="6:6" ht="15.75" customHeight="1">
      <c r="F271" s="16"/>
    </row>
    <row r="272" spans="6:6" ht="15.75" customHeight="1">
      <c r="F272" s="16"/>
    </row>
    <row r="273" spans="6:6" ht="15.75" customHeight="1">
      <c r="F273" s="16"/>
    </row>
    <row r="274" spans="6:6" ht="15.75" customHeight="1">
      <c r="F274" s="16"/>
    </row>
    <row r="275" spans="6:6" ht="15.75" customHeight="1">
      <c r="F275" s="16"/>
    </row>
    <row r="276" spans="6:6" ht="15.75" customHeight="1">
      <c r="F276" s="16"/>
    </row>
    <row r="277" spans="6:6" ht="15.75" customHeight="1">
      <c r="F277" s="16"/>
    </row>
    <row r="278" spans="6:6" ht="15.75" customHeight="1">
      <c r="F278" s="16"/>
    </row>
    <row r="279" spans="6:6" ht="15.75" customHeight="1">
      <c r="F279" s="16"/>
    </row>
    <row r="280" spans="6:6" ht="15.75" customHeight="1">
      <c r="F280" s="16"/>
    </row>
    <row r="281" spans="6:6" ht="15.75" customHeight="1">
      <c r="F281" s="16"/>
    </row>
    <row r="282" spans="6:6" ht="15.75" customHeight="1">
      <c r="F282" s="16"/>
    </row>
    <row r="283" spans="6:6" ht="15.75" customHeight="1">
      <c r="F283" s="16"/>
    </row>
    <row r="284" spans="6:6" ht="15.75" customHeight="1">
      <c r="F284" s="16"/>
    </row>
    <row r="285" spans="6:6" ht="15.75" customHeight="1">
      <c r="F285" s="16"/>
    </row>
    <row r="286" spans="6:6" ht="15.75" customHeight="1">
      <c r="F286" s="16"/>
    </row>
    <row r="287" spans="6:6" ht="15.75" customHeight="1">
      <c r="F287" s="16"/>
    </row>
    <row r="288" spans="6:6" ht="15.75" customHeight="1">
      <c r="F288" s="16"/>
    </row>
    <row r="289" spans="6:6" ht="15.75" customHeight="1">
      <c r="F289" s="16"/>
    </row>
    <row r="290" spans="6:6" ht="15.75" customHeight="1">
      <c r="F290" s="16"/>
    </row>
    <row r="291" spans="6:6" ht="15.75" customHeight="1">
      <c r="F291" s="16"/>
    </row>
    <row r="292" spans="6:6" ht="15.75" customHeight="1">
      <c r="F292" s="16"/>
    </row>
    <row r="293" spans="6:6" ht="15.75" customHeight="1">
      <c r="F293" s="16"/>
    </row>
    <row r="294" spans="6:6" ht="15.75" customHeight="1">
      <c r="F294" s="16"/>
    </row>
    <row r="295" spans="6:6" ht="15.75" customHeight="1">
      <c r="F295" s="16"/>
    </row>
    <row r="296" spans="6:6" ht="15.75" customHeight="1">
      <c r="F296" s="16"/>
    </row>
    <row r="297" spans="6:6" ht="15.75" customHeight="1">
      <c r="F297" s="16"/>
    </row>
    <row r="298" spans="6:6" ht="15.75" customHeight="1">
      <c r="F298" s="16"/>
    </row>
    <row r="299" spans="6:6" ht="15.75" customHeight="1">
      <c r="F299" s="16"/>
    </row>
    <row r="300" spans="6:6" ht="15.75" customHeight="1">
      <c r="F300" s="16"/>
    </row>
    <row r="301" spans="6:6" ht="15.75" customHeight="1">
      <c r="F301" s="16"/>
    </row>
    <row r="302" spans="6:6" ht="15.75" customHeight="1">
      <c r="F302" s="16"/>
    </row>
    <row r="303" spans="6:6" ht="15.75" customHeight="1">
      <c r="F303" s="16"/>
    </row>
    <row r="304" spans="6:6" ht="15.75" customHeight="1">
      <c r="F304" s="16"/>
    </row>
    <row r="305" spans="6:6" ht="15.75" customHeight="1">
      <c r="F305" s="16"/>
    </row>
    <row r="306" spans="6:6" ht="15.75" customHeight="1">
      <c r="F306" s="16"/>
    </row>
    <row r="307" spans="6:6" ht="15.75" customHeight="1">
      <c r="F307" s="16"/>
    </row>
    <row r="308" spans="6:6" ht="15.75" customHeight="1">
      <c r="F308" s="16"/>
    </row>
    <row r="309" spans="6:6" ht="15.75" customHeight="1">
      <c r="F309" s="16"/>
    </row>
    <row r="310" spans="6:6" ht="15.75" customHeight="1">
      <c r="F310" s="16"/>
    </row>
    <row r="311" spans="6:6" ht="15.75" customHeight="1">
      <c r="F311" s="16"/>
    </row>
    <row r="312" spans="6:6" ht="15.75" customHeight="1">
      <c r="F312" s="16"/>
    </row>
    <row r="313" spans="6:6" ht="15.75" customHeight="1">
      <c r="F313" s="16"/>
    </row>
    <row r="314" spans="6:6" ht="15.75" customHeight="1">
      <c r="F314" s="16"/>
    </row>
    <row r="315" spans="6:6" ht="15.75" customHeight="1">
      <c r="F315" s="16"/>
    </row>
    <row r="316" spans="6:6" ht="15.75" customHeight="1">
      <c r="F316" s="16"/>
    </row>
    <row r="317" spans="6:6" ht="15.75" customHeight="1">
      <c r="F317" s="16"/>
    </row>
    <row r="318" spans="6:6" ht="15.75" customHeight="1">
      <c r="F318" s="16"/>
    </row>
    <row r="319" spans="6:6" ht="15.75" customHeight="1">
      <c r="F319" s="16"/>
    </row>
    <row r="320" spans="6:6" ht="15.75" customHeight="1">
      <c r="F320" s="16"/>
    </row>
    <row r="321" spans="6:6" ht="15.75" customHeight="1">
      <c r="F321" s="16"/>
    </row>
    <row r="322" spans="6:6" ht="15.75" customHeight="1">
      <c r="F322" s="16"/>
    </row>
    <row r="323" spans="6:6" ht="15.75" customHeight="1">
      <c r="F323" s="16"/>
    </row>
    <row r="324" spans="6:6" ht="15.75" customHeight="1">
      <c r="F324" s="16"/>
    </row>
    <row r="325" spans="6:6" ht="15.75" customHeight="1">
      <c r="F325" s="16"/>
    </row>
    <row r="326" spans="6:6" ht="15.75" customHeight="1">
      <c r="F326" s="16"/>
    </row>
    <row r="327" spans="6:6" ht="15.75" customHeight="1">
      <c r="F327" s="16"/>
    </row>
    <row r="328" spans="6:6" ht="15.75" customHeight="1">
      <c r="F328" s="16"/>
    </row>
    <row r="329" spans="6:6" ht="15.75" customHeight="1">
      <c r="F329" s="16"/>
    </row>
    <row r="330" spans="6:6" ht="15.75" customHeight="1">
      <c r="F330" s="16"/>
    </row>
    <row r="331" spans="6:6" ht="15.75" customHeight="1">
      <c r="F331" s="16"/>
    </row>
    <row r="332" spans="6:6" ht="15.75" customHeight="1">
      <c r="F332" s="16"/>
    </row>
    <row r="333" spans="6:6" ht="15.75" customHeight="1">
      <c r="F333" s="16"/>
    </row>
    <row r="334" spans="6:6" ht="15.75" customHeight="1">
      <c r="F334" s="16"/>
    </row>
    <row r="335" spans="6:6" ht="15.75" customHeight="1">
      <c r="F335" s="16"/>
    </row>
    <row r="336" spans="6:6" ht="15.75" customHeight="1">
      <c r="F336" s="16"/>
    </row>
    <row r="337" spans="6:6" ht="15.75" customHeight="1">
      <c r="F337" s="16"/>
    </row>
    <row r="338" spans="6:6" ht="15.75" customHeight="1">
      <c r="F338" s="16"/>
    </row>
    <row r="339" spans="6:6" ht="15.75" customHeight="1">
      <c r="F339" s="16"/>
    </row>
    <row r="340" spans="6:6" ht="15.75" customHeight="1">
      <c r="F340" s="16"/>
    </row>
    <row r="341" spans="6:6" ht="15.75" customHeight="1">
      <c r="F341" s="16"/>
    </row>
    <row r="342" spans="6:6" ht="15.75" customHeight="1">
      <c r="F342" s="16"/>
    </row>
    <row r="343" spans="6:6" ht="15.75" customHeight="1">
      <c r="F343" s="16"/>
    </row>
    <row r="344" spans="6:6" ht="15.75" customHeight="1">
      <c r="F344" s="16"/>
    </row>
    <row r="345" spans="6:6" ht="15.75" customHeight="1">
      <c r="F345" s="16"/>
    </row>
    <row r="346" spans="6:6" ht="15.75" customHeight="1">
      <c r="F346" s="16"/>
    </row>
    <row r="347" spans="6:6" ht="15.75" customHeight="1">
      <c r="F347" s="16"/>
    </row>
    <row r="348" spans="6:6" ht="15.75" customHeight="1">
      <c r="F348" s="16"/>
    </row>
    <row r="349" spans="6:6" ht="15.75" customHeight="1">
      <c r="F349" s="16"/>
    </row>
    <row r="350" spans="6:6" ht="15.75" customHeight="1">
      <c r="F350" s="16"/>
    </row>
    <row r="351" spans="6:6" ht="15.75" customHeight="1">
      <c r="F351" s="16"/>
    </row>
    <row r="352" spans="6:6" ht="15.75" customHeight="1">
      <c r="F352" s="16"/>
    </row>
    <row r="353" spans="6:6" ht="15.75" customHeight="1">
      <c r="F353" s="16"/>
    </row>
    <row r="354" spans="6:6" ht="15.75" customHeight="1">
      <c r="F354" s="16"/>
    </row>
    <row r="355" spans="6:6" ht="15.75" customHeight="1">
      <c r="F355" s="16"/>
    </row>
    <row r="356" spans="6:6" ht="15.75" customHeight="1">
      <c r="F356" s="16"/>
    </row>
    <row r="357" spans="6:6" ht="15.75" customHeight="1">
      <c r="F357" s="16"/>
    </row>
    <row r="358" spans="6:6" ht="15.75" customHeight="1">
      <c r="F358" s="16"/>
    </row>
    <row r="359" spans="6:6" ht="15.75" customHeight="1">
      <c r="F359" s="16"/>
    </row>
    <row r="360" spans="6:6" ht="15.75" customHeight="1">
      <c r="F360" s="16"/>
    </row>
    <row r="361" spans="6:6" ht="15.75" customHeight="1">
      <c r="F361" s="16"/>
    </row>
    <row r="362" spans="6:6" ht="15.75" customHeight="1">
      <c r="F362" s="16"/>
    </row>
    <row r="363" spans="6:6" ht="15.75" customHeight="1">
      <c r="F363" s="16"/>
    </row>
    <row r="364" spans="6:6" ht="15.75" customHeight="1">
      <c r="F364" s="16"/>
    </row>
    <row r="365" spans="6:6" ht="15.75" customHeight="1">
      <c r="F365" s="16"/>
    </row>
    <row r="366" spans="6:6" ht="15.75" customHeight="1">
      <c r="F366" s="16"/>
    </row>
    <row r="367" spans="6:6" ht="15.75" customHeight="1">
      <c r="F367" s="16"/>
    </row>
    <row r="368" spans="6:6" ht="15.75" customHeight="1">
      <c r="F368" s="16"/>
    </row>
    <row r="369" spans="6:6" ht="15.75" customHeight="1">
      <c r="F369" s="16"/>
    </row>
    <row r="370" spans="6:6" ht="15.75" customHeight="1">
      <c r="F370" s="16"/>
    </row>
    <row r="371" spans="6:6" ht="15.75" customHeight="1">
      <c r="F371" s="16"/>
    </row>
    <row r="372" spans="6:6" ht="15.75" customHeight="1">
      <c r="F372" s="16"/>
    </row>
    <row r="373" spans="6:6" ht="15.75" customHeight="1">
      <c r="F373" s="16"/>
    </row>
    <row r="374" spans="6:6" ht="15.75" customHeight="1">
      <c r="F374" s="16"/>
    </row>
    <row r="375" spans="6:6" ht="15.75" customHeight="1">
      <c r="F375" s="16"/>
    </row>
    <row r="376" spans="6:6" ht="15.75" customHeight="1">
      <c r="F376" s="16"/>
    </row>
    <row r="377" spans="6:6" ht="15.75" customHeight="1">
      <c r="F377" s="16"/>
    </row>
    <row r="378" spans="6:6" ht="15.75" customHeight="1">
      <c r="F378" s="16"/>
    </row>
    <row r="379" spans="6:6" ht="15.75" customHeight="1">
      <c r="F379" s="16"/>
    </row>
    <row r="380" spans="6:6" ht="15.75" customHeight="1">
      <c r="F380" s="16"/>
    </row>
    <row r="381" spans="6:6" ht="15.75" customHeight="1">
      <c r="F381" s="16"/>
    </row>
    <row r="382" spans="6:6" ht="15.75" customHeight="1">
      <c r="F382" s="16"/>
    </row>
    <row r="383" spans="6:6" ht="15.75" customHeight="1">
      <c r="F383" s="16"/>
    </row>
    <row r="384" spans="6:6" ht="15.75" customHeight="1">
      <c r="F384" s="16"/>
    </row>
    <row r="385" spans="6:6" ht="15.75" customHeight="1">
      <c r="F385" s="16"/>
    </row>
    <row r="386" spans="6:6" ht="15.75" customHeight="1">
      <c r="F386" s="16"/>
    </row>
    <row r="387" spans="6:6" ht="15.75" customHeight="1">
      <c r="F387" s="16"/>
    </row>
    <row r="388" spans="6:6" ht="15.75" customHeight="1">
      <c r="F388" s="16"/>
    </row>
    <row r="389" spans="6:6" ht="15.75" customHeight="1">
      <c r="F389" s="16"/>
    </row>
    <row r="390" spans="6:6" ht="15.75" customHeight="1">
      <c r="F390" s="16"/>
    </row>
    <row r="391" spans="6:6" ht="15.75" customHeight="1">
      <c r="F391" s="16"/>
    </row>
    <row r="392" spans="6:6" ht="15.75" customHeight="1">
      <c r="F392" s="16"/>
    </row>
    <row r="393" spans="6:6" ht="15.75" customHeight="1">
      <c r="F393" s="16"/>
    </row>
    <row r="394" spans="6:6" ht="15.75" customHeight="1">
      <c r="F394" s="16"/>
    </row>
    <row r="395" spans="6:6" ht="15.75" customHeight="1">
      <c r="F395" s="16"/>
    </row>
    <row r="396" spans="6:6" ht="15.75" customHeight="1">
      <c r="F396" s="16"/>
    </row>
    <row r="397" spans="6:6" ht="15.75" customHeight="1">
      <c r="F397" s="16"/>
    </row>
    <row r="398" spans="6:6" ht="15.75" customHeight="1">
      <c r="F398" s="16"/>
    </row>
    <row r="399" spans="6:6" ht="15.75" customHeight="1">
      <c r="F399" s="16"/>
    </row>
    <row r="400" spans="6:6" ht="15.75" customHeight="1">
      <c r="F400" s="16"/>
    </row>
    <row r="401" spans="6:6" ht="15.75" customHeight="1">
      <c r="F401" s="16"/>
    </row>
    <row r="402" spans="6:6" ht="15.75" customHeight="1">
      <c r="F402" s="16"/>
    </row>
    <row r="403" spans="6:6" ht="15.75" customHeight="1">
      <c r="F403" s="16"/>
    </row>
    <row r="404" spans="6:6" ht="15.75" customHeight="1">
      <c r="F404" s="16"/>
    </row>
    <row r="405" spans="6:6" ht="15.75" customHeight="1">
      <c r="F405" s="16"/>
    </row>
    <row r="406" spans="6:6" ht="15.75" customHeight="1">
      <c r="F406" s="16"/>
    </row>
    <row r="407" spans="6:6" ht="15.75" customHeight="1">
      <c r="F407" s="16"/>
    </row>
    <row r="408" spans="6:6" ht="15.75" customHeight="1">
      <c r="F408" s="16"/>
    </row>
    <row r="409" spans="6:6" ht="15.75" customHeight="1">
      <c r="F409" s="16"/>
    </row>
    <row r="410" spans="6:6" ht="15.75" customHeight="1">
      <c r="F410" s="16"/>
    </row>
    <row r="411" spans="6:6" ht="15.75" customHeight="1">
      <c r="F411" s="16"/>
    </row>
    <row r="412" spans="6:6" ht="15.75" customHeight="1">
      <c r="F412" s="16"/>
    </row>
    <row r="413" spans="6:6" ht="15.75" customHeight="1">
      <c r="F413" s="16"/>
    </row>
    <row r="414" spans="6:6" ht="15.75" customHeight="1">
      <c r="F414" s="16"/>
    </row>
    <row r="415" spans="6:6" ht="15.75" customHeight="1">
      <c r="F415" s="16"/>
    </row>
    <row r="416" spans="6:6" ht="15.75" customHeight="1">
      <c r="F416" s="16"/>
    </row>
    <row r="417" spans="6:6" ht="15.75" customHeight="1">
      <c r="F417" s="16"/>
    </row>
    <row r="418" spans="6:6" ht="15.75" customHeight="1">
      <c r="F418" s="16"/>
    </row>
    <row r="419" spans="6:6" ht="15.75" customHeight="1">
      <c r="F419" s="16"/>
    </row>
    <row r="420" spans="6:6" ht="15.75" customHeight="1">
      <c r="F420" s="16"/>
    </row>
    <row r="421" spans="6:6" ht="15.75" customHeight="1">
      <c r="F421" s="16"/>
    </row>
    <row r="422" spans="6:6" ht="15.75" customHeight="1">
      <c r="F422" s="16"/>
    </row>
    <row r="423" spans="6:6" ht="15.75" customHeight="1">
      <c r="F423" s="16"/>
    </row>
    <row r="424" spans="6:6" ht="15.75" customHeight="1">
      <c r="F424" s="16"/>
    </row>
    <row r="425" spans="6:6" ht="15.75" customHeight="1">
      <c r="F425" s="16"/>
    </row>
    <row r="426" spans="6:6" ht="15.75" customHeight="1">
      <c r="F426" s="16"/>
    </row>
    <row r="427" spans="6:6" ht="15.75" customHeight="1">
      <c r="F427" s="16"/>
    </row>
    <row r="428" spans="6:6" ht="15.75" customHeight="1">
      <c r="F428" s="16"/>
    </row>
    <row r="429" spans="6:6" ht="15.75" customHeight="1">
      <c r="F429" s="16"/>
    </row>
    <row r="430" spans="6:6" ht="15.75" customHeight="1">
      <c r="F430" s="16"/>
    </row>
    <row r="431" spans="6:6" ht="15.75" customHeight="1">
      <c r="F431" s="16"/>
    </row>
    <row r="432" spans="6:6" ht="15.75" customHeight="1">
      <c r="F432" s="16"/>
    </row>
    <row r="433" spans="6:6" ht="15.75" customHeight="1">
      <c r="F433" s="16"/>
    </row>
    <row r="434" spans="6:6" ht="15.75" customHeight="1">
      <c r="F434" s="16"/>
    </row>
    <row r="435" spans="6:6" ht="15.75" customHeight="1">
      <c r="F435" s="16"/>
    </row>
    <row r="436" spans="6:6" ht="15.75" customHeight="1">
      <c r="F436" s="16"/>
    </row>
    <row r="437" spans="6:6" ht="15.75" customHeight="1">
      <c r="F437" s="16"/>
    </row>
    <row r="438" spans="6:6" ht="15.75" customHeight="1">
      <c r="F438" s="16"/>
    </row>
    <row r="439" spans="6:6" ht="15.75" customHeight="1">
      <c r="F439" s="16"/>
    </row>
    <row r="440" spans="6:6" ht="15.75" customHeight="1">
      <c r="F440" s="16"/>
    </row>
    <row r="441" spans="6:6" ht="15.75" customHeight="1">
      <c r="F441" s="16"/>
    </row>
    <row r="442" spans="6:6" ht="15.75" customHeight="1">
      <c r="F442" s="16"/>
    </row>
    <row r="443" spans="6:6" ht="15.75" customHeight="1">
      <c r="F443" s="16"/>
    </row>
    <row r="444" spans="6:6" ht="15.75" customHeight="1">
      <c r="F444" s="16"/>
    </row>
    <row r="445" spans="6:6" ht="15.75" customHeight="1">
      <c r="F445" s="16"/>
    </row>
    <row r="446" spans="6:6" ht="15.75" customHeight="1">
      <c r="F446" s="16"/>
    </row>
    <row r="447" spans="6:6" ht="15.75" customHeight="1">
      <c r="F447" s="16"/>
    </row>
    <row r="448" spans="6:6" ht="15.75" customHeight="1">
      <c r="F448" s="16"/>
    </row>
    <row r="449" spans="6:6" ht="15.75" customHeight="1">
      <c r="F449" s="16"/>
    </row>
    <row r="450" spans="6:6" ht="15.75" customHeight="1">
      <c r="F450" s="16"/>
    </row>
    <row r="451" spans="6:6" ht="15.75" customHeight="1">
      <c r="F451" s="16"/>
    </row>
    <row r="452" spans="6:6" ht="15.75" customHeight="1">
      <c r="F452" s="16"/>
    </row>
    <row r="453" spans="6:6" ht="15.75" customHeight="1">
      <c r="F453" s="16"/>
    </row>
    <row r="454" spans="6:6" ht="15.75" customHeight="1">
      <c r="F454" s="16"/>
    </row>
    <row r="455" spans="6:6" ht="15.75" customHeight="1">
      <c r="F455" s="16"/>
    </row>
    <row r="456" spans="6:6" ht="15.75" customHeight="1">
      <c r="F456" s="16"/>
    </row>
    <row r="457" spans="6:6" ht="15.75" customHeight="1">
      <c r="F457" s="16"/>
    </row>
    <row r="458" spans="6:6" ht="15.75" customHeight="1">
      <c r="F458" s="16"/>
    </row>
    <row r="459" spans="6:6" ht="15.75" customHeight="1">
      <c r="F459" s="16"/>
    </row>
    <row r="460" spans="6:6" ht="15.75" customHeight="1">
      <c r="F460" s="16"/>
    </row>
    <row r="461" spans="6:6" ht="15.75" customHeight="1">
      <c r="F461" s="16"/>
    </row>
    <row r="462" spans="6:6" ht="15.75" customHeight="1">
      <c r="F462" s="16"/>
    </row>
    <row r="463" spans="6:6" ht="15.75" customHeight="1">
      <c r="F463" s="16"/>
    </row>
    <row r="464" spans="6:6" ht="15.75" customHeight="1">
      <c r="F464" s="16"/>
    </row>
    <row r="465" spans="6:6" ht="15.75" customHeight="1">
      <c r="F465" s="16"/>
    </row>
    <row r="466" spans="6:6" ht="15.75" customHeight="1">
      <c r="F466" s="16"/>
    </row>
    <row r="467" spans="6:6" ht="15.75" customHeight="1">
      <c r="F467" s="16"/>
    </row>
    <row r="468" spans="6:6" ht="15.75" customHeight="1">
      <c r="F468" s="16"/>
    </row>
    <row r="469" spans="6:6" ht="15.75" customHeight="1">
      <c r="F469" s="16"/>
    </row>
    <row r="470" spans="6:6" ht="15.75" customHeight="1">
      <c r="F470" s="16"/>
    </row>
    <row r="471" spans="6:6" ht="15.75" customHeight="1">
      <c r="F471" s="16"/>
    </row>
    <row r="472" spans="6:6" ht="15.75" customHeight="1">
      <c r="F472" s="16"/>
    </row>
    <row r="473" spans="6:6" ht="15.75" customHeight="1">
      <c r="F473" s="16"/>
    </row>
    <row r="474" spans="6:6" ht="15.75" customHeight="1">
      <c r="F474" s="16"/>
    </row>
    <row r="475" spans="6:6" ht="15.75" customHeight="1">
      <c r="F475" s="16"/>
    </row>
    <row r="476" spans="6:6" ht="15.75" customHeight="1">
      <c r="F476" s="16"/>
    </row>
    <row r="477" spans="6:6" ht="15.75" customHeight="1">
      <c r="F477" s="16"/>
    </row>
    <row r="478" spans="6:6" ht="15.75" customHeight="1">
      <c r="F478" s="16"/>
    </row>
    <row r="479" spans="6:6" ht="15.75" customHeight="1">
      <c r="F479" s="16"/>
    </row>
    <row r="480" spans="6:6" ht="15.75" customHeight="1">
      <c r="F480" s="16"/>
    </row>
    <row r="481" spans="6:6" ht="15.75" customHeight="1">
      <c r="F481" s="16"/>
    </row>
    <row r="482" spans="6:6" ht="15.75" customHeight="1">
      <c r="F482" s="16"/>
    </row>
    <row r="483" spans="6:6" ht="15.75" customHeight="1">
      <c r="F483" s="16"/>
    </row>
    <row r="484" spans="6:6" ht="15.75" customHeight="1">
      <c r="F484" s="16"/>
    </row>
    <row r="485" spans="6:6" ht="15.75" customHeight="1">
      <c r="F485" s="16"/>
    </row>
    <row r="486" spans="6:6" ht="15.75" customHeight="1">
      <c r="F486" s="16"/>
    </row>
    <row r="487" spans="6:6" ht="15.75" customHeight="1">
      <c r="F487" s="16"/>
    </row>
    <row r="488" spans="6:6" ht="15.75" customHeight="1">
      <c r="F488" s="16"/>
    </row>
    <row r="489" spans="6:6" ht="15.75" customHeight="1">
      <c r="F489" s="16"/>
    </row>
    <row r="490" spans="6:6" ht="15.75" customHeight="1">
      <c r="F490" s="16"/>
    </row>
    <row r="491" spans="6:6" ht="15.75" customHeight="1">
      <c r="F491" s="16"/>
    </row>
    <row r="492" spans="6:6" ht="15.75" customHeight="1">
      <c r="F492" s="16"/>
    </row>
    <row r="493" spans="6:6" ht="15.75" customHeight="1">
      <c r="F493" s="16"/>
    </row>
    <row r="494" spans="6:6" ht="15.75" customHeight="1">
      <c r="F494" s="16"/>
    </row>
    <row r="495" spans="6:6" ht="15.75" customHeight="1">
      <c r="F495" s="16"/>
    </row>
    <row r="496" spans="6:6" ht="15.75" customHeight="1">
      <c r="F496" s="16"/>
    </row>
    <row r="497" spans="6:6" ht="15.75" customHeight="1">
      <c r="F497" s="16"/>
    </row>
    <row r="498" spans="6:6" ht="15.75" customHeight="1">
      <c r="F498" s="16"/>
    </row>
    <row r="499" spans="6:6" ht="15.75" customHeight="1">
      <c r="F499" s="16"/>
    </row>
    <row r="500" spans="6:6" ht="15.75" customHeight="1">
      <c r="F500" s="16"/>
    </row>
    <row r="501" spans="6:6" ht="15.75" customHeight="1"/>
    <row r="502" spans="6:6" ht="15.75" customHeight="1"/>
    <row r="503" spans="6:6" ht="15.75" customHeight="1"/>
    <row r="504" spans="6:6" ht="15.75" customHeight="1"/>
    <row r="505" spans="6:6" ht="15.75" customHeight="1"/>
    <row r="506" spans="6:6" ht="15.75" customHeight="1"/>
    <row r="507" spans="6:6" ht="15.75" customHeight="1"/>
    <row r="508" spans="6:6" ht="15.75" customHeight="1"/>
    <row r="509" spans="6:6" ht="15.75" customHeight="1"/>
    <row r="510" spans="6:6" ht="15.75" customHeight="1"/>
    <row r="511" spans="6:6" ht="15.75" customHeight="1"/>
    <row r="512" spans="6:6"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1" xr:uid="{00000000-0009-0000-0000-000001000000}"/>
  <conditionalFormatting sqref="F2:F11">
    <cfRule type="expression" dxfId="15" priority="1">
      <formula>F2="DONE"</formula>
    </cfRule>
    <cfRule type="expression" dxfId="14" priority="2">
      <formula>F2="DOING"</formula>
    </cfRule>
    <cfRule type="expression" dxfId="13" priority="3">
      <formula>F2="BLOCKED"</formula>
    </cfRule>
    <cfRule type="expression" dxfId="12" priority="4">
      <formula>F2="PASS"</formula>
    </cfRule>
  </conditionalFormatting>
  <dataValidations count="1">
    <dataValidation type="list" allowBlank="1" sqref="F2:F500" xr:uid="{00000000-0002-0000-0100-000000000000}">
      <formula1>"TODO,DOING,DONE,BLOCKED"</formula1>
    </dataValidation>
  </dataValidations>
  <pageMargins left="0.25" right="0.25" top="0.45" bottom="0.45"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E57C2"/>
    <pageSetUpPr fitToPage="1"/>
  </sheetPr>
  <dimension ref="A1:K1000"/>
  <sheetViews>
    <sheetView showGridLines="0" zoomScale="85" zoomScaleNormal="85" workbookViewId="0">
      <pane ySplit="1" topLeftCell="A2" activePane="bottomLeft" state="frozen"/>
      <selection pane="bottomLeft" activeCell="I10" sqref="I10"/>
    </sheetView>
  </sheetViews>
  <sheetFormatPr defaultColWidth="14.44140625" defaultRowHeight="15" customHeight="1"/>
  <cols>
    <col min="1" max="1" width="14" customWidth="1"/>
    <col min="2" max="2" width="22" customWidth="1"/>
    <col min="3" max="3" width="35" customWidth="1"/>
    <col min="4" max="4" width="42" customWidth="1"/>
    <col min="5" max="5" width="35" customWidth="1"/>
    <col min="6" max="6" width="42" customWidth="1"/>
    <col min="7" max="7" width="36" customWidth="1"/>
    <col min="8" max="8" width="42" customWidth="1"/>
    <col min="9" max="9" width="25" customWidth="1"/>
    <col min="10" max="10" width="32" customWidth="1"/>
    <col min="11" max="11" width="16" customWidth="1"/>
    <col min="12" max="26" width="8.6640625" customWidth="1"/>
  </cols>
  <sheetData>
    <row r="1" spans="1:11" ht="37.5" customHeight="1">
      <c r="A1" s="6" t="s">
        <v>469</v>
      </c>
      <c r="B1" s="6" t="s">
        <v>470</v>
      </c>
      <c r="C1" s="6" t="s">
        <v>471</v>
      </c>
      <c r="D1" s="6" t="s">
        <v>472</v>
      </c>
      <c r="E1" s="6" t="s">
        <v>473</v>
      </c>
      <c r="F1" s="6" t="s">
        <v>474</v>
      </c>
      <c r="G1" s="6" t="s">
        <v>475</v>
      </c>
      <c r="H1" s="6" t="s">
        <v>476</v>
      </c>
      <c r="I1" s="6" t="s">
        <v>477</v>
      </c>
      <c r="J1" s="6" t="s">
        <v>478</v>
      </c>
      <c r="K1" s="6" t="s">
        <v>16</v>
      </c>
    </row>
    <row r="2" spans="1:11" ht="14.4" customHeight="1">
      <c r="A2" s="10" t="s">
        <v>479</v>
      </c>
      <c r="B2" s="10" t="s">
        <v>391</v>
      </c>
      <c r="C2" s="10" t="s">
        <v>480</v>
      </c>
      <c r="D2" s="10" t="s">
        <v>481</v>
      </c>
      <c r="E2" s="10" t="s">
        <v>482</v>
      </c>
      <c r="F2" s="10" t="s">
        <v>483</v>
      </c>
      <c r="G2" s="10" t="s">
        <v>484</v>
      </c>
      <c r="H2" s="10" t="s">
        <v>485</v>
      </c>
      <c r="I2" s="33" t="s">
        <v>390</v>
      </c>
      <c r="J2" s="33" t="s">
        <v>486</v>
      </c>
      <c r="K2" s="3" t="s">
        <v>34</v>
      </c>
    </row>
    <row r="3" spans="1:11" ht="14.4" customHeight="1">
      <c r="A3" s="10" t="s">
        <v>487</v>
      </c>
      <c r="B3" s="10" t="s">
        <v>488</v>
      </c>
      <c r="C3" s="10" t="s">
        <v>489</v>
      </c>
      <c r="D3" s="10" t="s">
        <v>490</v>
      </c>
      <c r="E3" s="10" t="s">
        <v>491</v>
      </c>
      <c r="F3" s="10" t="s">
        <v>492</v>
      </c>
      <c r="G3" s="10" t="s">
        <v>493</v>
      </c>
      <c r="H3" s="10" t="s">
        <v>494</v>
      </c>
      <c r="I3" s="33" t="s">
        <v>495</v>
      </c>
      <c r="J3" s="33" t="s">
        <v>496</v>
      </c>
      <c r="K3" s="3" t="s">
        <v>34</v>
      </c>
    </row>
    <row r="4" spans="1:11" ht="14.4" customHeight="1">
      <c r="A4" s="10" t="s">
        <v>497</v>
      </c>
      <c r="B4" s="10" t="s">
        <v>498</v>
      </c>
      <c r="C4" s="10" t="s">
        <v>499</v>
      </c>
      <c r="D4" s="10" t="s">
        <v>500</v>
      </c>
      <c r="E4" s="10" t="s">
        <v>501</v>
      </c>
      <c r="F4" s="10" t="s">
        <v>502</v>
      </c>
      <c r="G4" s="10" t="s">
        <v>503</v>
      </c>
      <c r="H4" s="10" t="s">
        <v>504</v>
      </c>
      <c r="I4" s="33" t="s">
        <v>436</v>
      </c>
      <c r="J4" s="33" t="s">
        <v>438</v>
      </c>
      <c r="K4" s="3" t="s">
        <v>34</v>
      </c>
    </row>
    <row r="5" spans="1:11" ht="14.4" customHeight="1">
      <c r="A5" s="10" t="s">
        <v>505</v>
      </c>
      <c r="B5" s="10" t="s">
        <v>506</v>
      </c>
      <c r="C5" s="10" t="s">
        <v>507</v>
      </c>
      <c r="D5" s="10" t="s">
        <v>508</v>
      </c>
      <c r="E5" s="10" t="s">
        <v>509</v>
      </c>
      <c r="F5" s="10" t="s">
        <v>510</v>
      </c>
      <c r="G5" s="10" t="s">
        <v>511</v>
      </c>
      <c r="H5" s="10" t="s">
        <v>512</v>
      </c>
      <c r="I5" s="33" t="s">
        <v>426</v>
      </c>
      <c r="J5" s="33" t="s">
        <v>513</v>
      </c>
      <c r="K5" s="3" t="s">
        <v>34</v>
      </c>
    </row>
    <row r="6" spans="1:11" ht="14.4" customHeight="1">
      <c r="A6" s="10" t="s">
        <v>514</v>
      </c>
      <c r="B6" s="10" t="s">
        <v>515</v>
      </c>
      <c r="C6" s="10" t="s">
        <v>516</v>
      </c>
      <c r="D6" s="10" t="s">
        <v>517</v>
      </c>
      <c r="E6" s="10" t="s">
        <v>518</v>
      </c>
      <c r="F6" s="10" t="s">
        <v>519</v>
      </c>
      <c r="G6" s="10" t="s">
        <v>520</v>
      </c>
      <c r="H6" s="10" t="s">
        <v>521</v>
      </c>
      <c r="I6" s="33" t="s">
        <v>445</v>
      </c>
      <c r="J6" s="33" t="s">
        <v>522</v>
      </c>
      <c r="K6" s="3" t="s">
        <v>34</v>
      </c>
    </row>
    <row r="7" spans="1:11" ht="14.4" customHeight="1">
      <c r="A7" s="10" t="s">
        <v>523</v>
      </c>
      <c r="B7" s="10" t="s">
        <v>524</v>
      </c>
      <c r="C7" s="10" t="s">
        <v>525</v>
      </c>
      <c r="D7" s="10" t="s">
        <v>526</v>
      </c>
      <c r="E7" s="10" t="s">
        <v>527</v>
      </c>
      <c r="F7" s="10" t="s">
        <v>528</v>
      </c>
      <c r="G7" s="10" t="s">
        <v>529</v>
      </c>
      <c r="H7" s="10" t="s">
        <v>530</v>
      </c>
      <c r="I7" s="33" t="s">
        <v>408</v>
      </c>
      <c r="J7" s="33" t="s">
        <v>410</v>
      </c>
      <c r="K7" s="3" t="s">
        <v>34</v>
      </c>
    </row>
    <row r="8" spans="1:11" ht="14.4" customHeight="1">
      <c r="K8" s="16"/>
    </row>
    <row r="9" spans="1:11" ht="14.4" customHeight="1">
      <c r="K9" s="16"/>
    </row>
    <row r="10" spans="1:11" ht="14.4" customHeight="1">
      <c r="K10" s="16"/>
    </row>
    <row r="11" spans="1:11" ht="14.4" customHeight="1">
      <c r="K11" s="16"/>
    </row>
    <row r="12" spans="1:11" ht="14.4" customHeight="1">
      <c r="K12" s="16"/>
    </row>
    <row r="13" spans="1:11" ht="14.4" customHeight="1">
      <c r="K13" s="16"/>
    </row>
    <row r="14" spans="1:11" ht="14.4" customHeight="1">
      <c r="K14" s="16"/>
    </row>
    <row r="15" spans="1:11" ht="14.4" customHeight="1">
      <c r="K15" s="16"/>
    </row>
    <row r="16" spans="1:11" ht="14.4" customHeight="1">
      <c r="K16" s="16"/>
    </row>
    <row r="17" spans="11:11" ht="14.4" customHeight="1">
      <c r="K17" s="16"/>
    </row>
    <row r="18" spans="11:11" ht="14.4" customHeight="1">
      <c r="K18" s="16"/>
    </row>
    <row r="19" spans="11:11" ht="14.4" customHeight="1">
      <c r="K19" s="16"/>
    </row>
    <row r="20" spans="11:11" ht="14.4" customHeight="1">
      <c r="K20" s="16"/>
    </row>
    <row r="21" spans="11:11" ht="15.75" customHeight="1">
      <c r="K21" s="16"/>
    </row>
    <row r="22" spans="11:11" ht="15.75" customHeight="1">
      <c r="K22" s="16"/>
    </row>
    <row r="23" spans="11:11" ht="15.75" customHeight="1">
      <c r="K23" s="16"/>
    </row>
    <row r="24" spans="11:11" ht="15.75" customHeight="1">
      <c r="K24" s="16"/>
    </row>
    <row r="25" spans="11:11" ht="15.75" customHeight="1">
      <c r="K25" s="16"/>
    </row>
    <row r="26" spans="11:11" ht="15.75" customHeight="1">
      <c r="K26" s="16"/>
    </row>
    <row r="27" spans="11:11" ht="15.75" customHeight="1">
      <c r="K27" s="16"/>
    </row>
    <row r="28" spans="11:11" ht="15.75" customHeight="1">
      <c r="K28" s="16"/>
    </row>
    <row r="29" spans="11:11" ht="15.75" customHeight="1">
      <c r="K29" s="16"/>
    </row>
    <row r="30" spans="11:11" ht="15.75" customHeight="1">
      <c r="K30" s="16"/>
    </row>
    <row r="31" spans="11:11" ht="15.75" customHeight="1">
      <c r="K31" s="16"/>
    </row>
    <row r="32" spans="11:11" ht="15.75" customHeight="1">
      <c r="K32" s="16"/>
    </row>
    <row r="33" spans="11:11" ht="15.75" customHeight="1">
      <c r="K33" s="16"/>
    </row>
    <row r="34" spans="11:11" ht="15.75" customHeight="1">
      <c r="K34" s="16"/>
    </row>
    <row r="35" spans="11:11" ht="15.75" customHeight="1">
      <c r="K35" s="16"/>
    </row>
    <row r="36" spans="11:11" ht="15.75" customHeight="1">
      <c r="K36" s="16"/>
    </row>
    <row r="37" spans="11:11" ht="15.75" customHeight="1">
      <c r="K37" s="16"/>
    </row>
    <row r="38" spans="11:11" ht="15.75" customHeight="1">
      <c r="K38" s="16"/>
    </row>
    <row r="39" spans="11:11" ht="15.75" customHeight="1">
      <c r="K39" s="16"/>
    </row>
    <row r="40" spans="11:11" ht="15.75" customHeight="1">
      <c r="K40" s="16"/>
    </row>
    <row r="41" spans="11:11" ht="15.75" customHeight="1">
      <c r="K41" s="16"/>
    </row>
    <row r="42" spans="11:11" ht="15.75" customHeight="1">
      <c r="K42" s="16"/>
    </row>
    <row r="43" spans="11:11" ht="15.75" customHeight="1">
      <c r="K43" s="16"/>
    </row>
    <row r="44" spans="11:11" ht="15.75" customHeight="1">
      <c r="K44" s="16"/>
    </row>
    <row r="45" spans="11:11" ht="15.75" customHeight="1">
      <c r="K45" s="16"/>
    </row>
    <row r="46" spans="11:11" ht="15.75" customHeight="1">
      <c r="K46" s="16"/>
    </row>
    <row r="47" spans="11:11" ht="15.75" customHeight="1">
      <c r="K47" s="16"/>
    </row>
    <row r="48" spans="11:11" ht="15.75" customHeight="1">
      <c r="K48" s="16"/>
    </row>
    <row r="49" spans="11:11" ht="15.75" customHeight="1">
      <c r="K49" s="16"/>
    </row>
    <row r="50" spans="11:11" ht="15.75" customHeight="1">
      <c r="K50" s="16"/>
    </row>
    <row r="51" spans="11:11" ht="15.75" customHeight="1">
      <c r="K51" s="16"/>
    </row>
    <row r="52" spans="11:11" ht="15.75" customHeight="1">
      <c r="K52" s="16"/>
    </row>
    <row r="53" spans="11:11" ht="15.75" customHeight="1">
      <c r="K53" s="16"/>
    </row>
    <row r="54" spans="11:11" ht="15.75" customHeight="1">
      <c r="K54" s="16"/>
    </row>
    <row r="55" spans="11:11" ht="15.75" customHeight="1">
      <c r="K55" s="16"/>
    </row>
    <row r="56" spans="11:11" ht="15.75" customHeight="1">
      <c r="K56" s="16"/>
    </row>
    <row r="57" spans="11:11" ht="15.75" customHeight="1">
      <c r="K57" s="16"/>
    </row>
    <row r="58" spans="11:11" ht="15.75" customHeight="1">
      <c r="K58" s="16"/>
    </row>
    <row r="59" spans="11:11" ht="15.75" customHeight="1">
      <c r="K59" s="16"/>
    </row>
    <row r="60" spans="11:11" ht="15.75" customHeight="1">
      <c r="K60" s="16"/>
    </row>
    <row r="61" spans="11:11" ht="15.75" customHeight="1">
      <c r="K61" s="16"/>
    </row>
    <row r="62" spans="11:11" ht="15.75" customHeight="1">
      <c r="K62" s="16"/>
    </row>
    <row r="63" spans="11:11" ht="15.75" customHeight="1">
      <c r="K63" s="16"/>
    </row>
    <row r="64" spans="11:11" ht="15.75" customHeight="1">
      <c r="K64" s="16"/>
    </row>
    <row r="65" spans="11:11" ht="15.75" customHeight="1">
      <c r="K65" s="16"/>
    </row>
    <row r="66" spans="11:11" ht="15.75" customHeight="1">
      <c r="K66" s="16"/>
    </row>
    <row r="67" spans="11:11" ht="15.75" customHeight="1">
      <c r="K67" s="16"/>
    </row>
    <row r="68" spans="11:11" ht="15.75" customHeight="1">
      <c r="K68" s="16"/>
    </row>
    <row r="69" spans="11:11" ht="15.75" customHeight="1">
      <c r="K69" s="16"/>
    </row>
    <row r="70" spans="11:11" ht="15.75" customHeight="1">
      <c r="K70" s="16"/>
    </row>
    <row r="71" spans="11:11" ht="15.75" customHeight="1">
      <c r="K71" s="16"/>
    </row>
    <row r="72" spans="11:11" ht="15.75" customHeight="1">
      <c r="K72" s="16"/>
    </row>
    <row r="73" spans="11:11" ht="15.75" customHeight="1">
      <c r="K73" s="16"/>
    </row>
    <row r="74" spans="11:11" ht="15.75" customHeight="1">
      <c r="K74" s="16"/>
    </row>
    <row r="75" spans="11:11" ht="15.75" customHeight="1">
      <c r="K75" s="16"/>
    </row>
    <row r="76" spans="11:11" ht="15.75" customHeight="1">
      <c r="K76" s="16"/>
    </row>
    <row r="77" spans="11:11" ht="15.75" customHeight="1">
      <c r="K77" s="16"/>
    </row>
    <row r="78" spans="11:11" ht="15.75" customHeight="1">
      <c r="K78" s="16"/>
    </row>
    <row r="79" spans="11:11" ht="15.75" customHeight="1">
      <c r="K79" s="16"/>
    </row>
    <row r="80" spans="11:11" ht="15.75" customHeight="1">
      <c r="K80" s="16"/>
    </row>
    <row r="81" spans="11:11" ht="15.75" customHeight="1">
      <c r="K81" s="16"/>
    </row>
    <row r="82" spans="11:11" ht="15.75" customHeight="1">
      <c r="K82" s="16"/>
    </row>
    <row r="83" spans="11:11" ht="15.75" customHeight="1">
      <c r="K83" s="16"/>
    </row>
    <row r="84" spans="11:11" ht="15.75" customHeight="1">
      <c r="K84" s="16"/>
    </row>
    <row r="85" spans="11:11" ht="15.75" customHeight="1">
      <c r="K85" s="16"/>
    </row>
    <row r="86" spans="11:11" ht="15.75" customHeight="1">
      <c r="K86" s="16"/>
    </row>
    <row r="87" spans="11:11" ht="15.75" customHeight="1">
      <c r="K87" s="16"/>
    </row>
    <row r="88" spans="11:11" ht="15.75" customHeight="1">
      <c r="K88" s="16"/>
    </row>
    <row r="89" spans="11:11" ht="15.75" customHeight="1">
      <c r="K89" s="16"/>
    </row>
    <row r="90" spans="11:11" ht="15.75" customHeight="1">
      <c r="K90" s="16"/>
    </row>
    <row r="91" spans="11:11" ht="15.75" customHeight="1">
      <c r="K91" s="16"/>
    </row>
    <row r="92" spans="11:11" ht="15.75" customHeight="1">
      <c r="K92" s="16"/>
    </row>
    <row r="93" spans="11:11" ht="15.75" customHeight="1">
      <c r="K93" s="16"/>
    </row>
    <row r="94" spans="11:11" ht="15.75" customHeight="1">
      <c r="K94" s="16"/>
    </row>
    <row r="95" spans="11:11" ht="15.75" customHeight="1">
      <c r="K95" s="16"/>
    </row>
    <row r="96" spans="11:11" ht="15.75" customHeight="1">
      <c r="K96" s="16"/>
    </row>
    <row r="97" spans="11:11" ht="15.75" customHeight="1">
      <c r="K97" s="16"/>
    </row>
    <row r="98" spans="11:11" ht="15.75" customHeight="1">
      <c r="K98" s="16"/>
    </row>
    <row r="99" spans="11:11" ht="15.75" customHeight="1">
      <c r="K99" s="16"/>
    </row>
    <row r="100" spans="11:11" ht="15.75" customHeight="1">
      <c r="K100" s="16"/>
    </row>
    <row r="101" spans="11:11" ht="15.75" customHeight="1">
      <c r="K101" s="16"/>
    </row>
    <row r="102" spans="11:11" ht="15.75" customHeight="1">
      <c r="K102" s="16"/>
    </row>
    <row r="103" spans="11:11" ht="15.75" customHeight="1">
      <c r="K103" s="16"/>
    </row>
    <row r="104" spans="11:11" ht="15.75" customHeight="1">
      <c r="K104" s="16"/>
    </row>
    <row r="105" spans="11:11" ht="15.75" customHeight="1">
      <c r="K105" s="16"/>
    </row>
    <row r="106" spans="11:11" ht="15.75" customHeight="1">
      <c r="K106" s="16"/>
    </row>
    <row r="107" spans="11:11" ht="15.75" customHeight="1">
      <c r="K107" s="16"/>
    </row>
    <row r="108" spans="11:11" ht="15.75" customHeight="1">
      <c r="K108" s="16"/>
    </row>
    <row r="109" spans="11:11" ht="15.75" customHeight="1">
      <c r="K109" s="16"/>
    </row>
    <row r="110" spans="11:11" ht="15.75" customHeight="1">
      <c r="K110" s="16"/>
    </row>
    <row r="111" spans="11:11" ht="15.75" customHeight="1">
      <c r="K111" s="16"/>
    </row>
    <row r="112" spans="11:11" ht="15.75" customHeight="1">
      <c r="K112" s="16"/>
    </row>
    <row r="113" spans="11:11" ht="15.75" customHeight="1">
      <c r="K113" s="16"/>
    </row>
    <row r="114" spans="11:11" ht="15.75" customHeight="1">
      <c r="K114" s="16"/>
    </row>
    <row r="115" spans="11:11" ht="15.75" customHeight="1">
      <c r="K115" s="16"/>
    </row>
    <row r="116" spans="11:11" ht="15.75" customHeight="1">
      <c r="K116" s="16"/>
    </row>
    <row r="117" spans="11:11" ht="15.75" customHeight="1">
      <c r="K117" s="16"/>
    </row>
    <row r="118" spans="11:11" ht="15.75" customHeight="1">
      <c r="K118" s="16"/>
    </row>
    <row r="119" spans="11:11" ht="15.75" customHeight="1">
      <c r="K119" s="16"/>
    </row>
    <row r="120" spans="11:11" ht="15.75" customHeight="1">
      <c r="K120" s="16"/>
    </row>
    <row r="121" spans="11:11" ht="15.75" customHeight="1">
      <c r="K121" s="16"/>
    </row>
    <row r="122" spans="11:11" ht="15.75" customHeight="1">
      <c r="K122" s="16"/>
    </row>
    <row r="123" spans="11:11" ht="15.75" customHeight="1">
      <c r="K123" s="16"/>
    </row>
    <row r="124" spans="11:11" ht="15.75" customHeight="1">
      <c r="K124" s="16"/>
    </row>
    <row r="125" spans="11:11" ht="15.75" customHeight="1">
      <c r="K125" s="16"/>
    </row>
    <row r="126" spans="11:11" ht="15.75" customHeight="1">
      <c r="K126" s="16"/>
    </row>
    <row r="127" spans="11:11" ht="15.75" customHeight="1">
      <c r="K127" s="16"/>
    </row>
    <row r="128" spans="11:11" ht="15.75" customHeight="1">
      <c r="K128" s="16"/>
    </row>
    <row r="129" spans="11:11" ht="15.75" customHeight="1">
      <c r="K129" s="16"/>
    </row>
    <row r="130" spans="11:11" ht="15.75" customHeight="1">
      <c r="K130" s="16"/>
    </row>
    <row r="131" spans="11:11" ht="15.75" customHeight="1">
      <c r="K131" s="16"/>
    </row>
    <row r="132" spans="11:11" ht="15.75" customHeight="1">
      <c r="K132" s="16"/>
    </row>
    <row r="133" spans="11:11" ht="15.75" customHeight="1">
      <c r="K133" s="16"/>
    </row>
    <row r="134" spans="11:11" ht="15.75" customHeight="1">
      <c r="K134" s="16"/>
    </row>
    <row r="135" spans="11:11" ht="15.75" customHeight="1">
      <c r="K135" s="16"/>
    </row>
    <row r="136" spans="11:11" ht="15.75" customHeight="1">
      <c r="K136" s="16"/>
    </row>
    <row r="137" spans="11:11" ht="15.75" customHeight="1">
      <c r="K137" s="16"/>
    </row>
    <row r="138" spans="11:11" ht="15.75" customHeight="1">
      <c r="K138" s="16"/>
    </row>
    <row r="139" spans="11:11" ht="15.75" customHeight="1">
      <c r="K139" s="16"/>
    </row>
    <row r="140" spans="11:11" ht="15.75" customHeight="1">
      <c r="K140" s="16"/>
    </row>
    <row r="141" spans="11:11" ht="15.75" customHeight="1">
      <c r="K141" s="16"/>
    </row>
    <row r="142" spans="11:11" ht="15.75" customHeight="1">
      <c r="K142" s="16"/>
    </row>
    <row r="143" spans="11:11" ht="15.75" customHeight="1">
      <c r="K143" s="16"/>
    </row>
    <row r="144" spans="11:11" ht="15.75" customHeight="1">
      <c r="K144" s="16"/>
    </row>
    <row r="145" spans="11:11" ht="15.75" customHeight="1">
      <c r="K145" s="16"/>
    </row>
    <row r="146" spans="11:11" ht="15.75" customHeight="1">
      <c r="K146" s="16"/>
    </row>
    <row r="147" spans="11:11" ht="15.75" customHeight="1">
      <c r="K147" s="16"/>
    </row>
    <row r="148" spans="11:11" ht="15.75" customHeight="1">
      <c r="K148" s="16"/>
    </row>
    <row r="149" spans="11:11" ht="15.75" customHeight="1">
      <c r="K149" s="16"/>
    </row>
    <row r="150" spans="11:11" ht="15.75" customHeight="1">
      <c r="K150" s="16"/>
    </row>
    <row r="151" spans="11:11" ht="15.75" customHeight="1">
      <c r="K151" s="16"/>
    </row>
    <row r="152" spans="11:11" ht="15.75" customHeight="1">
      <c r="K152" s="16"/>
    </row>
    <row r="153" spans="11:11" ht="15.75" customHeight="1">
      <c r="K153" s="16"/>
    </row>
    <row r="154" spans="11:11" ht="15.75" customHeight="1">
      <c r="K154" s="16"/>
    </row>
    <row r="155" spans="11:11" ht="15.75" customHeight="1">
      <c r="K155" s="16"/>
    </row>
    <row r="156" spans="11:11" ht="15.75" customHeight="1">
      <c r="K156" s="16"/>
    </row>
    <row r="157" spans="11:11" ht="15.75" customHeight="1">
      <c r="K157" s="16"/>
    </row>
    <row r="158" spans="11:11" ht="15.75" customHeight="1">
      <c r="K158" s="16"/>
    </row>
    <row r="159" spans="11:11" ht="15.75" customHeight="1">
      <c r="K159" s="16"/>
    </row>
    <row r="160" spans="11:11" ht="15.75" customHeight="1">
      <c r="K160" s="16"/>
    </row>
    <row r="161" spans="11:11" ht="15.75" customHeight="1">
      <c r="K161" s="16"/>
    </row>
    <row r="162" spans="11:11" ht="15.75" customHeight="1">
      <c r="K162" s="16"/>
    </row>
    <row r="163" spans="11:11" ht="15.75" customHeight="1">
      <c r="K163" s="16"/>
    </row>
    <row r="164" spans="11:11" ht="15.75" customHeight="1">
      <c r="K164" s="16"/>
    </row>
    <row r="165" spans="11:11" ht="15.75" customHeight="1">
      <c r="K165" s="16"/>
    </row>
    <row r="166" spans="11:11" ht="15.75" customHeight="1">
      <c r="K166" s="16"/>
    </row>
    <row r="167" spans="11:11" ht="15.75" customHeight="1">
      <c r="K167" s="16"/>
    </row>
    <row r="168" spans="11:11" ht="15.75" customHeight="1">
      <c r="K168" s="16"/>
    </row>
    <row r="169" spans="11:11" ht="15.75" customHeight="1">
      <c r="K169" s="16"/>
    </row>
    <row r="170" spans="11:11" ht="15.75" customHeight="1">
      <c r="K170" s="16"/>
    </row>
    <row r="171" spans="11:11" ht="15.75" customHeight="1">
      <c r="K171" s="16"/>
    </row>
    <row r="172" spans="11:11" ht="15.75" customHeight="1">
      <c r="K172" s="16"/>
    </row>
    <row r="173" spans="11:11" ht="15.75" customHeight="1">
      <c r="K173" s="16"/>
    </row>
    <row r="174" spans="11:11" ht="15.75" customHeight="1">
      <c r="K174" s="16"/>
    </row>
    <row r="175" spans="11:11" ht="15.75" customHeight="1">
      <c r="K175" s="16"/>
    </row>
    <row r="176" spans="11:11" ht="15.75" customHeight="1">
      <c r="K176" s="16"/>
    </row>
    <row r="177" spans="11:11" ht="15.75" customHeight="1">
      <c r="K177" s="16"/>
    </row>
    <row r="178" spans="11:11" ht="15.75" customHeight="1">
      <c r="K178" s="16"/>
    </row>
    <row r="179" spans="11:11" ht="15.75" customHeight="1">
      <c r="K179" s="16"/>
    </row>
    <row r="180" spans="11:11" ht="15.75" customHeight="1">
      <c r="K180" s="16"/>
    </row>
    <row r="181" spans="11:11" ht="15.75" customHeight="1">
      <c r="K181" s="16"/>
    </row>
    <row r="182" spans="11:11" ht="15.75" customHeight="1">
      <c r="K182" s="16"/>
    </row>
    <row r="183" spans="11:11" ht="15.75" customHeight="1">
      <c r="K183" s="16"/>
    </row>
    <row r="184" spans="11:11" ht="15.75" customHeight="1">
      <c r="K184" s="16"/>
    </row>
    <row r="185" spans="11:11" ht="15.75" customHeight="1">
      <c r="K185" s="16"/>
    </row>
    <row r="186" spans="11:11" ht="15.75" customHeight="1">
      <c r="K186" s="16"/>
    </row>
    <row r="187" spans="11:11" ht="15.75" customHeight="1">
      <c r="K187" s="16"/>
    </row>
    <row r="188" spans="11:11" ht="15.75" customHeight="1">
      <c r="K188" s="16"/>
    </row>
    <row r="189" spans="11:11" ht="15.75" customHeight="1">
      <c r="K189" s="16"/>
    </row>
    <row r="190" spans="11:11" ht="15.75" customHeight="1">
      <c r="K190" s="16"/>
    </row>
    <row r="191" spans="11:11" ht="15.75" customHeight="1">
      <c r="K191" s="16"/>
    </row>
    <row r="192" spans="11:11" ht="15.75" customHeight="1">
      <c r="K192" s="16"/>
    </row>
    <row r="193" spans="11:11" ht="15.75" customHeight="1">
      <c r="K193" s="16"/>
    </row>
    <row r="194" spans="11:11" ht="15.75" customHeight="1">
      <c r="K194" s="16"/>
    </row>
    <row r="195" spans="11:11" ht="15.75" customHeight="1">
      <c r="K195" s="16"/>
    </row>
    <row r="196" spans="11:11" ht="15.75" customHeight="1">
      <c r="K196" s="16"/>
    </row>
    <row r="197" spans="11:11" ht="15.75" customHeight="1">
      <c r="K197" s="16"/>
    </row>
    <row r="198" spans="11:11" ht="15.75" customHeight="1">
      <c r="K198" s="16"/>
    </row>
    <row r="199" spans="11:11" ht="15.75" customHeight="1">
      <c r="K199" s="16"/>
    </row>
    <row r="200" spans="11:11" ht="15.75" customHeight="1">
      <c r="K200" s="16"/>
    </row>
    <row r="201" spans="11:11" ht="15.75" customHeight="1">
      <c r="K201" s="16"/>
    </row>
    <row r="202" spans="11:11" ht="15.75" customHeight="1">
      <c r="K202" s="16"/>
    </row>
    <row r="203" spans="11:11" ht="15.75" customHeight="1">
      <c r="K203" s="16"/>
    </row>
    <row r="204" spans="11:11" ht="15.75" customHeight="1">
      <c r="K204" s="16"/>
    </row>
    <row r="205" spans="11:11" ht="15.75" customHeight="1">
      <c r="K205" s="16"/>
    </row>
    <row r="206" spans="11:11" ht="15.75" customHeight="1">
      <c r="K206" s="16"/>
    </row>
    <row r="207" spans="11:11" ht="15.75" customHeight="1">
      <c r="K207" s="16"/>
    </row>
    <row r="208" spans="11:11" ht="15.75" customHeight="1">
      <c r="K208" s="16"/>
    </row>
    <row r="209" spans="11:11" ht="15.75" customHeight="1">
      <c r="K209" s="16"/>
    </row>
    <row r="210" spans="11:11" ht="15.75" customHeight="1">
      <c r="K210" s="16"/>
    </row>
    <row r="211" spans="11:11" ht="15.75" customHeight="1">
      <c r="K211" s="16"/>
    </row>
    <row r="212" spans="11:11" ht="15.75" customHeight="1">
      <c r="K212" s="16"/>
    </row>
    <row r="213" spans="11:11" ht="15.75" customHeight="1">
      <c r="K213" s="16"/>
    </row>
    <row r="214" spans="11:11" ht="15.75" customHeight="1">
      <c r="K214" s="16"/>
    </row>
    <row r="215" spans="11:11" ht="15.75" customHeight="1">
      <c r="K215" s="16"/>
    </row>
    <row r="216" spans="11:11" ht="15.75" customHeight="1">
      <c r="K216" s="16"/>
    </row>
    <row r="217" spans="11:11" ht="15.75" customHeight="1">
      <c r="K217" s="16"/>
    </row>
    <row r="218" spans="11:11" ht="15.75" customHeight="1">
      <c r="K218" s="16"/>
    </row>
    <row r="219" spans="11:11" ht="15.75" customHeight="1">
      <c r="K219" s="16"/>
    </row>
    <row r="220" spans="11:11" ht="15.75" customHeight="1">
      <c r="K220" s="16"/>
    </row>
    <row r="221" spans="11:11" ht="15.75" customHeight="1">
      <c r="K221" s="16"/>
    </row>
    <row r="222" spans="11:11" ht="15.75" customHeight="1">
      <c r="K222" s="16"/>
    </row>
    <row r="223" spans="11:11" ht="15.75" customHeight="1">
      <c r="K223" s="16"/>
    </row>
    <row r="224" spans="11:11" ht="15.75" customHeight="1">
      <c r="K224" s="16"/>
    </row>
    <row r="225" spans="11:11" ht="15.75" customHeight="1">
      <c r="K225" s="16"/>
    </row>
    <row r="226" spans="11:11" ht="15.75" customHeight="1">
      <c r="K226" s="16"/>
    </row>
    <row r="227" spans="11:11" ht="15.75" customHeight="1">
      <c r="K227" s="16"/>
    </row>
    <row r="228" spans="11:11" ht="15.75" customHeight="1">
      <c r="K228" s="16"/>
    </row>
    <row r="229" spans="11:11" ht="15.75" customHeight="1">
      <c r="K229" s="16"/>
    </row>
    <row r="230" spans="11:11" ht="15.75" customHeight="1">
      <c r="K230" s="16"/>
    </row>
    <row r="231" spans="11:11" ht="15.75" customHeight="1">
      <c r="K231" s="16"/>
    </row>
    <row r="232" spans="11:11" ht="15.75" customHeight="1">
      <c r="K232" s="16"/>
    </row>
    <row r="233" spans="11:11" ht="15.75" customHeight="1">
      <c r="K233" s="16"/>
    </row>
    <row r="234" spans="11:11" ht="15.75" customHeight="1">
      <c r="K234" s="16"/>
    </row>
    <row r="235" spans="11:11" ht="15.75" customHeight="1">
      <c r="K235" s="16"/>
    </row>
    <row r="236" spans="11:11" ht="15.75" customHeight="1">
      <c r="K236" s="16"/>
    </row>
    <row r="237" spans="11:11" ht="15.75" customHeight="1">
      <c r="K237" s="16"/>
    </row>
    <row r="238" spans="11:11" ht="15.75" customHeight="1">
      <c r="K238" s="16"/>
    </row>
    <row r="239" spans="11:11" ht="15.75" customHeight="1">
      <c r="K239" s="16"/>
    </row>
    <row r="240" spans="11:11" ht="15.75" customHeight="1">
      <c r="K240" s="16"/>
    </row>
    <row r="241" spans="11:11" ht="15.75" customHeight="1">
      <c r="K241" s="16"/>
    </row>
    <row r="242" spans="11:11" ht="15.75" customHeight="1">
      <c r="K242" s="16"/>
    </row>
    <row r="243" spans="11:11" ht="15.75" customHeight="1">
      <c r="K243" s="16"/>
    </row>
    <row r="244" spans="11:11" ht="15.75" customHeight="1">
      <c r="K244" s="16"/>
    </row>
    <row r="245" spans="11:11" ht="15.75" customHeight="1">
      <c r="K245" s="16"/>
    </row>
    <row r="246" spans="11:11" ht="15.75" customHeight="1">
      <c r="K246" s="16"/>
    </row>
    <row r="247" spans="11:11" ht="15.75" customHeight="1">
      <c r="K247" s="16"/>
    </row>
    <row r="248" spans="11:11" ht="15.75" customHeight="1">
      <c r="K248" s="16"/>
    </row>
    <row r="249" spans="11:11" ht="15.75" customHeight="1">
      <c r="K249" s="16"/>
    </row>
    <row r="250" spans="11:11" ht="15.75" customHeight="1">
      <c r="K250" s="16"/>
    </row>
    <row r="251" spans="11:11" ht="15.75" customHeight="1">
      <c r="K251" s="16"/>
    </row>
    <row r="252" spans="11:11" ht="15.75" customHeight="1">
      <c r="K252" s="16"/>
    </row>
    <row r="253" spans="11:11" ht="15.75" customHeight="1">
      <c r="K253" s="16"/>
    </row>
    <row r="254" spans="11:11" ht="15.75" customHeight="1">
      <c r="K254" s="16"/>
    </row>
    <row r="255" spans="11:11" ht="15.75" customHeight="1">
      <c r="K255" s="16"/>
    </row>
    <row r="256" spans="11:11" ht="15.75" customHeight="1">
      <c r="K256" s="16"/>
    </row>
    <row r="257" spans="11:11" ht="15.75" customHeight="1">
      <c r="K257" s="16"/>
    </row>
    <row r="258" spans="11:11" ht="15.75" customHeight="1">
      <c r="K258" s="16"/>
    </row>
    <row r="259" spans="11:11" ht="15.75" customHeight="1">
      <c r="K259" s="16"/>
    </row>
    <row r="260" spans="11:11" ht="15.75" customHeight="1">
      <c r="K260" s="16"/>
    </row>
    <row r="261" spans="11:11" ht="15.75" customHeight="1">
      <c r="K261" s="16"/>
    </row>
    <row r="262" spans="11:11" ht="15.75" customHeight="1">
      <c r="K262" s="16"/>
    </row>
    <row r="263" spans="11:11" ht="15.75" customHeight="1">
      <c r="K263" s="16"/>
    </row>
    <row r="264" spans="11:11" ht="15.75" customHeight="1">
      <c r="K264" s="16"/>
    </row>
    <row r="265" spans="11:11" ht="15.75" customHeight="1">
      <c r="K265" s="16"/>
    </row>
    <row r="266" spans="11:11" ht="15.75" customHeight="1">
      <c r="K266" s="16"/>
    </row>
    <row r="267" spans="11:11" ht="15.75" customHeight="1">
      <c r="K267" s="16"/>
    </row>
    <row r="268" spans="11:11" ht="15.75" customHeight="1">
      <c r="K268" s="16"/>
    </row>
    <row r="269" spans="11:11" ht="15.75" customHeight="1">
      <c r="K269" s="16"/>
    </row>
    <row r="270" spans="11:11" ht="15.75" customHeight="1">
      <c r="K270" s="16"/>
    </row>
    <row r="271" spans="11:11" ht="15.75" customHeight="1">
      <c r="K271" s="16"/>
    </row>
    <row r="272" spans="11:11" ht="15.75" customHeight="1">
      <c r="K272" s="16"/>
    </row>
    <row r="273" spans="11:11" ht="15.75" customHeight="1">
      <c r="K273" s="16"/>
    </row>
    <row r="274" spans="11:11" ht="15.75" customHeight="1">
      <c r="K274" s="16"/>
    </row>
    <row r="275" spans="11:11" ht="15.75" customHeight="1">
      <c r="K275" s="16"/>
    </row>
    <row r="276" spans="11:11" ht="15.75" customHeight="1">
      <c r="K276" s="16"/>
    </row>
    <row r="277" spans="11:11" ht="15.75" customHeight="1">
      <c r="K277" s="16"/>
    </row>
    <row r="278" spans="11:11" ht="15.75" customHeight="1">
      <c r="K278" s="16"/>
    </row>
    <row r="279" spans="11:11" ht="15.75" customHeight="1">
      <c r="K279" s="16"/>
    </row>
    <row r="280" spans="11:11" ht="15.75" customHeight="1">
      <c r="K280" s="16"/>
    </row>
    <row r="281" spans="11:11" ht="15.75" customHeight="1">
      <c r="K281" s="16"/>
    </row>
    <row r="282" spans="11:11" ht="15.75" customHeight="1">
      <c r="K282" s="16"/>
    </row>
    <row r="283" spans="11:11" ht="15.75" customHeight="1">
      <c r="K283" s="16"/>
    </row>
    <row r="284" spans="11:11" ht="15.75" customHeight="1">
      <c r="K284" s="16"/>
    </row>
    <row r="285" spans="11:11" ht="15.75" customHeight="1">
      <c r="K285" s="16"/>
    </row>
    <row r="286" spans="11:11" ht="15.75" customHeight="1">
      <c r="K286" s="16"/>
    </row>
    <row r="287" spans="11:11" ht="15.75" customHeight="1">
      <c r="K287" s="16"/>
    </row>
    <row r="288" spans="11:11" ht="15.75" customHeight="1">
      <c r="K288" s="16"/>
    </row>
    <row r="289" spans="11:11" ht="15.75" customHeight="1">
      <c r="K289" s="16"/>
    </row>
    <row r="290" spans="11:11" ht="15.75" customHeight="1">
      <c r="K290" s="16"/>
    </row>
    <row r="291" spans="11:11" ht="15.75" customHeight="1">
      <c r="K291" s="16"/>
    </row>
    <row r="292" spans="11:11" ht="15.75" customHeight="1">
      <c r="K292" s="16"/>
    </row>
    <row r="293" spans="11:11" ht="15.75" customHeight="1">
      <c r="K293" s="16"/>
    </row>
    <row r="294" spans="11:11" ht="15.75" customHeight="1">
      <c r="K294" s="16"/>
    </row>
    <row r="295" spans="11:11" ht="15.75" customHeight="1">
      <c r="K295" s="16"/>
    </row>
    <row r="296" spans="11:11" ht="15.75" customHeight="1">
      <c r="K296" s="16"/>
    </row>
    <row r="297" spans="11:11" ht="15.75" customHeight="1">
      <c r="K297" s="16"/>
    </row>
    <row r="298" spans="11:11" ht="15.75" customHeight="1">
      <c r="K298" s="16"/>
    </row>
    <row r="299" spans="11:11" ht="15.75" customHeight="1">
      <c r="K299" s="16"/>
    </row>
    <row r="300" spans="11:11" ht="15.75" customHeight="1">
      <c r="K300" s="16"/>
    </row>
    <row r="301" spans="11:11" ht="15.75" customHeight="1">
      <c r="K301" s="16"/>
    </row>
    <row r="302" spans="11:11" ht="15.75" customHeight="1">
      <c r="K302" s="16"/>
    </row>
    <row r="303" spans="11:11" ht="15.75" customHeight="1">
      <c r="K303" s="16"/>
    </row>
    <row r="304" spans="11:11" ht="15.75" customHeight="1">
      <c r="K304" s="16"/>
    </row>
    <row r="305" spans="11:11" ht="15.75" customHeight="1">
      <c r="K305" s="16"/>
    </row>
    <row r="306" spans="11:11" ht="15.75" customHeight="1">
      <c r="K306" s="16"/>
    </row>
    <row r="307" spans="11:11" ht="15.75" customHeight="1">
      <c r="K307" s="16"/>
    </row>
    <row r="308" spans="11:11" ht="15.75" customHeight="1">
      <c r="K308" s="16"/>
    </row>
    <row r="309" spans="11:11" ht="15.75" customHeight="1">
      <c r="K309" s="16"/>
    </row>
    <row r="310" spans="11:11" ht="15.75" customHeight="1">
      <c r="K310" s="16"/>
    </row>
    <row r="311" spans="11:11" ht="15.75" customHeight="1">
      <c r="K311" s="16"/>
    </row>
    <row r="312" spans="11:11" ht="15.75" customHeight="1">
      <c r="K312" s="16"/>
    </row>
    <row r="313" spans="11:11" ht="15.75" customHeight="1">
      <c r="K313" s="16"/>
    </row>
    <row r="314" spans="11:11" ht="15.75" customHeight="1">
      <c r="K314" s="16"/>
    </row>
    <row r="315" spans="11:11" ht="15.75" customHeight="1">
      <c r="K315" s="16"/>
    </row>
    <row r="316" spans="11:11" ht="15.75" customHeight="1">
      <c r="K316" s="16"/>
    </row>
    <row r="317" spans="11:11" ht="15.75" customHeight="1">
      <c r="K317" s="16"/>
    </row>
    <row r="318" spans="11:11" ht="15.75" customHeight="1">
      <c r="K318" s="16"/>
    </row>
    <row r="319" spans="11:11" ht="15.75" customHeight="1">
      <c r="K319" s="16"/>
    </row>
    <row r="320" spans="11:11" ht="15.75" customHeight="1">
      <c r="K320" s="16"/>
    </row>
    <row r="321" spans="11:11" ht="15.75" customHeight="1">
      <c r="K321" s="16"/>
    </row>
    <row r="322" spans="11:11" ht="15.75" customHeight="1">
      <c r="K322" s="16"/>
    </row>
    <row r="323" spans="11:11" ht="15.75" customHeight="1">
      <c r="K323" s="16"/>
    </row>
    <row r="324" spans="11:11" ht="15.75" customHeight="1">
      <c r="K324" s="16"/>
    </row>
    <row r="325" spans="11:11" ht="15.75" customHeight="1">
      <c r="K325" s="16"/>
    </row>
    <row r="326" spans="11:11" ht="15.75" customHeight="1">
      <c r="K326" s="16"/>
    </row>
    <row r="327" spans="11:11" ht="15.75" customHeight="1">
      <c r="K327" s="16"/>
    </row>
    <row r="328" spans="11:11" ht="15.75" customHeight="1">
      <c r="K328" s="16"/>
    </row>
    <row r="329" spans="11:11" ht="15.75" customHeight="1">
      <c r="K329" s="16"/>
    </row>
    <row r="330" spans="11:11" ht="15.75" customHeight="1">
      <c r="K330" s="16"/>
    </row>
    <row r="331" spans="11:11" ht="15.75" customHeight="1">
      <c r="K331" s="16"/>
    </row>
    <row r="332" spans="11:11" ht="15.75" customHeight="1">
      <c r="K332" s="16"/>
    </row>
    <row r="333" spans="11:11" ht="15.75" customHeight="1">
      <c r="K333" s="16"/>
    </row>
    <row r="334" spans="11:11" ht="15.75" customHeight="1">
      <c r="K334" s="16"/>
    </row>
    <row r="335" spans="11:11" ht="15.75" customHeight="1">
      <c r="K335" s="16"/>
    </row>
    <row r="336" spans="11:11" ht="15.75" customHeight="1">
      <c r="K336" s="16"/>
    </row>
    <row r="337" spans="11:11" ht="15.75" customHeight="1">
      <c r="K337" s="16"/>
    </row>
    <row r="338" spans="11:11" ht="15.75" customHeight="1">
      <c r="K338" s="16"/>
    </row>
    <row r="339" spans="11:11" ht="15.75" customHeight="1">
      <c r="K339" s="16"/>
    </row>
    <row r="340" spans="11:11" ht="15.75" customHeight="1">
      <c r="K340" s="16"/>
    </row>
    <row r="341" spans="11:11" ht="15.75" customHeight="1">
      <c r="K341" s="16"/>
    </row>
    <row r="342" spans="11:11" ht="15.75" customHeight="1">
      <c r="K342" s="16"/>
    </row>
    <row r="343" spans="11:11" ht="15.75" customHeight="1">
      <c r="K343" s="16"/>
    </row>
    <row r="344" spans="11:11" ht="15.75" customHeight="1">
      <c r="K344" s="16"/>
    </row>
    <row r="345" spans="11:11" ht="15.75" customHeight="1">
      <c r="K345" s="16"/>
    </row>
    <row r="346" spans="11:11" ht="15.75" customHeight="1">
      <c r="K346" s="16"/>
    </row>
    <row r="347" spans="11:11" ht="15.75" customHeight="1">
      <c r="K347" s="16"/>
    </row>
    <row r="348" spans="11:11" ht="15.75" customHeight="1">
      <c r="K348" s="16"/>
    </row>
    <row r="349" spans="11:11" ht="15.75" customHeight="1">
      <c r="K349" s="16"/>
    </row>
    <row r="350" spans="11:11" ht="15.75" customHeight="1">
      <c r="K350" s="16"/>
    </row>
    <row r="351" spans="11:11" ht="15.75" customHeight="1">
      <c r="K351" s="16"/>
    </row>
    <row r="352" spans="11:11" ht="15.75" customHeight="1">
      <c r="K352" s="16"/>
    </row>
    <row r="353" spans="11:11" ht="15.75" customHeight="1">
      <c r="K353" s="16"/>
    </row>
    <row r="354" spans="11:11" ht="15.75" customHeight="1">
      <c r="K354" s="16"/>
    </row>
    <row r="355" spans="11:11" ht="15.75" customHeight="1">
      <c r="K355" s="16"/>
    </row>
    <row r="356" spans="11:11" ht="15.75" customHeight="1">
      <c r="K356" s="16"/>
    </row>
    <row r="357" spans="11:11" ht="15.75" customHeight="1">
      <c r="K357" s="16"/>
    </row>
    <row r="358" spans="11:11" ht="15.75" customHeight="1">
      <c r="K358" s="16"/>
    </row>
    <row r="359" spans="11:11" ht="15.75" customHeight="1">
      <c r="K359" s="16"/>
    </row>
    <row r="360" spans="11:11" ht="15.75" customHeight="1">
      <c r="K360" s="16"/>
    </row>
    <row r="361" spans="11:11" ht="15.75" customHeight="1">
      <c r="K361" s="16"/>
    </row>
    <row r="362" spans="11:11" ht="15.75" customHeight="1">
      <c r="K362" s="16"/>
    </row>
    <row r="363" spans="11:11" ht="15.75" customHeight="1">
      <c r="K363" s="16"/>
    </row>
    <row r="364" spans="11:11" ht="15.75" customHeight="1">
      <c r="K364" s="16"/>
    </row>
    <row r="365" spans="11:11" ht="15.75" customHeight="1">
      <c r="K365" s="16"/>
    </row>
    <row r="366" spans="11:11" ht="15.75" customHeight="1">
      <c r="K366" s="16"/>
    </row>
    <row r="367" spans="11:11" ht="15.75" customHeight="1">
      <c r="K367" s="16"/>
    </row>
    <row r="368" spans="11:11" ht="15.75" customHeight="1">
      <c r="K368" s="16"/>
    </row>
    <row r="369" spans="11:11" ht="15.75" customHeight="1">
      <c r="K369" s="16"/>
    </row>
    <row r="370" spans="11:11" ht="15.75" customHeight="1">
      <c r="K370" s="16"/>
    </row>
    <row r="371" spans="11:11" ht="15.75" customHeight="1">
      <c r="K371" s="16"/>
    </row>
    <row r="372" spans="11:11" ht="15.75" customHeight="1">
      <c r="K372" s="16"/>
    </row>
    <row r="373" spans="11:11" ht="15.75" customHeight="1">
      <c r="K373" s="16"/>
    </row>
    <row r="374" spans="11:11" ht="15.75" customHeight="1">
      <c r="K374" s="16"/>
    </row>
    <row r="375" spans="11:11" ht="15.75" customHeight="1">
      <c r="K375" s="16"/>
    </row>
    <row r="376" spans="11:11" ht="15.75" customHeight="1">
      <c r="K376" s="16"/>
    </row>
    <row r="377" spans="11:11" ht="15.75" customHeight="1">
      <c r="K377" s="16"/>
    </row>
    <row r="378" spans="11:11" ht="15.75" customHeight="1">
      <c r="K378" s="16"/>
    </row>
    <row r="379" spans="11:11" ht="15.75" customHeight="1">
      <c r="K379" s="16"/>
    </row>
    <row r="380" spans="11:11" ht="15.75" customHeight="1">
      <c r="K380" s="16"/>
    </row>
    <row r="381" spans="11:11" ht="15.75" customHeight="1">
      <c r="K381" s="16"/>
    </row>
    <row r="382" spans="11:11" ht="15.75" customHeight="1">
      <c r="K382" s="16"/>
    </row>
    <row r="383" spans="11:11" ht="15.75" customHeight="1">
      <c r="K383" s="16"/>
    </row>
    <row r="384" spans="11:11" ht="15.75" customHeight="1">
      <c r="K384" s="16"/>
    </row>
    <row r="385" spans="11:11" ht="15.75" customHeight="1">
      <c r="K385" s="16"/>
    </row>
    <row r="386" spans="11:11" ht="15.75" customHeight="1">
      <c r="K386" s="16"/>
    </row>
    <row r="387" spans="11:11" ht="15.75" customHeight="1">
      <c r="K387" s="16"/>
    </row>
    <row r="388" spans="11:11" ht="15.75" customHeight="1">
      <c r="K388" s="16"/>
    </row>
    <row r="389" spans="11:11" ht="15.75" customHeight="1">
      <c r="K389" s="16"/>
    </row>
    <row r="390" spans="11:11" ht="15.75" customHeight="1">
      <c r="K390" s="16"/>
    </row>
    <row r="391" spans="11:11" ht="15.75" customHeight="1">
      <c r="K391" s="16"/>
    </row>
    <row r="392" spans="11:11" ht="15.75" customHeight="1">
      <c r="K392" s="16"/>
    </row>
    <row r="393" spans="11:11" ht="15.75" customHeight="1">
      <c r="K393" s="16"/>
    </row>
    <row r="394" spans="11:11" ht="15.75" customHeight="1">
      <c r="K394" s="16"/>
    </row>
    <row r="395" spans="11:11" ht="15.75" customHeight="1">
      <c r="K395" s="16"/>
    </row>
    <row r="396" spans="11:11" ht="15.75" customHeight="1">
      <c r="K396" s="16"/>
    </row>
    <row r="397" spans="11:11" ht="15.75" customHeight="1">
      <c r="K397" s="16"/>
    </row>
    <row r="398" spans="11:11" ht="15.75" customHeight="1">
      <c r="K398" s="16"/>
    </row>
    <row r="399" spans="11:11" ht="15.75" customHeight="1">
      <c r="K399" s="16"/>
    </row>
    <row r="400" spans="11:11" ht="15.75" customHeight="1">
      <c r="K400" s="16"/>
    </row>
    <row r="401" spans="11:11" ht="15.75" customHeight="1">
      <c r="K401" s="16"/>
    </row>
    <row r="402" spans="11:11" ht="15.75" customHeight="1">
      <c r="K402" s="16"/>
    </row>
    <row r="403" spans="11:11" ht="15.75" customHeight="1">
      <c r="K403" s="16"/>
    </row>
    <row r="404" spans="11:11" ht="15.75" customHeight="1">
      <c r="K404" s="16"/>
    </row>
    <row r="405" spans="11:11" ht="15.75" customHeight="1">
      <c r="K405" s="16"/>
    </row>
    <row r="406" spans="11:11" ht="15.75" customHeight="1">
      <c r="K406" s="16"/>
    </row>
    <row r="407" spans="11:11" ht="15.75" customHeight="1">
      <c r="K407" s="16"/>
    </row>
    <row r="408" spans="11:11" ht="15.75" customHeight="1">
      <c r="K408" s="16"/>
    </row>
    <row r="409" spans="11:11" ht="15.75" customHeight="1">
      <c r="K409" s="16"/>
    </row>
    <row r="410" spans="11:11" ht="15.75" customHeight="1">
      <c r="K410" s="16"/>
    </row>
    <row r="411" spans="11:11" ht="15.75" customHeight="1">
      <c r="K411" s="16"/>
    </row>
    <row r="412" spans="11:11" ht="15.75" customHeight="1">
      <c r="K412" s="16"/>
    </row>
    <row r="413" spans="11:11" ht="15.75" customHeight="1">
      <c r="K413" s="16"/>
    </row>
    <row r="414" spans="11:11" ht="15.75" customHeight="1">
      <c r="K414" s="16"/>
    </row>
    <row r="415" spans="11:11" ht="15.75" customHeight="1">
      <c r="K415" s="16"/>
    </row>
    <row r="416" spans="11:11" ht="15.75" customHeight="1">
      <c r="K416" s="16"/>
    </row>
    <row r="417" spans="11:11" ht="15.75" customHeight="1">
      <c r="K417" s="16"/>
    </row>
    <row r="418" spans="11:11" ht="15.75" customHeight="1">
      <c r="K418" s="16"/>
    </row>
    <row r="419" spans="11:11" ht="15.75" customHeight="1">
      <c r="K419" s="16"/>
    </row>
    <row r="420" spans="11:11" ht="15.75" customHeight="1">
      <c r="K420" s="16"/>
    </row>
    <row r="421" spans="11:11" ht="15.75" customHeight="1">
      <c r="K421" s="16"/>
    </row>
    <row r="422" spans="11:11" ht="15.75" customHeight="1">
      <c r="K422" s="16"/>
    </row>
    <row r="423" spans="11:11" ht="15.75" customHeight="1">
      <c r="K423" s="16"/>
    </row>
    <row r="424" spans="11:11" ht="15.75" customHeight="1">
      <c r="K424" s="16"/>
    </row>
    <row r="425" spans="11:11" ht="15.75" customHeight="1">
      <c r="K425" s="16"/>
    </row>
    <row r="426" spans="11:11" ht="15.75" customHeight="1">
      <c r="K426" s="16"/>
    </row>
    <row r="427" spans="11:11" ht="15.75" customHeight="1">
      <c r="K427" s="16"/>
    </row>
    <row r="428" spans="11:11" ht="15.75" customHeight="1">
      <c r="K428" s="16"/>
    </row>
    <row r="429" spans="11:11" ht="15.75" customHeight="1">
      <c r="K429" s="16"/>
    </row>
    <row r="430" spans="11:11" ht="15.75" customHeight="1">
      <c r="K430" s="16"/>
    </row>
    <row r="431" spans="11:11" ht="15.75" customHeight="1">
      <c r="K431" s="16"/>
    </row>
    <row r="432" spans="11:11" ht="15.75" customHeight="1">
      <c r="K432" s="16"/>
    </row>
    <row r="433" spans="11:11" ht="15.75" customHeight="1">
      <c r="K433" s="16"/>
    </row>
    <row r="434" spans="11:11" ht="15.75" customHeight="1">
      <c r="K434" s="16"/>
    </row>
    <row r="435" spans="11:11" ht="15.75" customHeight="1">
      <c r="K435" s="16"/>
    </row>
    <row r="436" spans="11:11" ht="15.75" customHeight="1">
      <c r="K436" s="16"/>
    </row>
    <row r="437" spans="11:11" ht="15.75" customHeight="1">
      <c r="K437" s="16"/>
    </row>
    <row r="438" spans="11:11" ht="15.75" customHeight="1">
      <c r="K438" s="16"/>
    </row>
    <row r="439" spans="11:11" ht="15.75" customHeight="1">
      <c r="K439" s="16"/>
    </row>
    <row r="440" spans="11:11" ht="15.75" customHeight="1">
      <c r="K440" s="16"/>
    </row>
    <row r="441" spans="11:11" ht="15.75" customHeight="1">
      <c r="K441" s="16"/>
    </row>
    <row r="442" spans="11:11" ht="15.75" customHeight="1">
      <c r="K442" s="16"/>
    </row>
    <row r="443" spans="11:11" ht="15.75" customHeight="1">
      <c r="K443" s="16"/>
    </row>
    <row r="444" spans="11:11" ht="15.75" customHeight="1">
      <c r="K444" s="16"/>
    </row>
    <row r="445" spans="11:11" ht="15.75" customHeight="1">
      <c r="K445" s="16"/>
    </row>
    <row r="446" spans="11:11" ht="15.75" customHeight="1">
      <c r="K446" s="16"/>
    </row>
    <row r="447" spans="11:11" ht="15.75" customHeight="1">
      <c r="K447" s="16"/>
    </row>
    <row r="448" spans="11:11" ht="15.75" customHeight="1">
      <c r="K448" s="16"/>
    </row>
    <row r="449" spans="11:11" ht="15.75" customHeight="1">
      <c r="K449" s="16"/>
    </row>
    <row r="450" spans="11:11" ht="15.75" customHeight="1">
      <c r="K450" s="16"/>
    </row>
    <row r="451" spans="11:11" ht="15.75" customHeight="1">
      <c r="K451" s="16"/>
    </row>
    <row r="452" spans="11:11" ht="15.75" customHeight="1">
      <c r="K452" s="16"/>
    </row>
    <row r="453" spans="11:11" ht="15.75" customHeight="1">
      <c r="K453" s="16"/>
    </row>
    <row r="454" spans="11:11" ht="15.75" customHeight="1">
      <c r="K454" s="16"/>
    </row>
    <row r="455" spans="11:11" ht="15.75" customHeight="1">
      <c r="K455" s="16"/>
    </row>
    <row r="456" spans="11:11" ht="15.75" customHeight="1">
      <c r="K456" s="16"/>
    </row>
    <row r="457" spans="11:11" ht="15.75" customHeight="1">
      <c r="K457" s="16"/>
    </row>
    <row r="458" spans="11:11" ht="15.75" customHeight="1">
      <c r="K458" s="16"/>
    </row>
    <row r="459" spans="11:11" ht="15.75" customHeight="1">
      <c r="K459" s="16"/>
    </row>
    <row r="460" spans="11:11" ht="15.75" customHeight="1">
      <c r="K460" s="16"/>
    </row>
    <row r="461" spans="11:11" ht="15.75" customHeight="1">
      <c r="K461" s="16"/>
    </row>
    <row r="462" spans="11:11" ht="15.75" customHeight="1">
      <c r="K462" s="16"/>
    </row>
    <row r="463" spans="11:11" ht="15.75" customHeight="1">
      <c r="K463" s="16"/>
    </row>
    <row r="464" spans="11:11" ht="15.75" customHeight="1">
      <c r="K464" s="16"/>
    </row>
    <row r="465" spans="11:11" ht="15.75" customHeight="1">
      <c r="K465" s="16"/>
    </row>
    <row r="466" spans="11:11" ht="15.75" customHeight="1">
      <c r="K466" s="16"/>
    </row>
    <row r="467" spans="11:11" ht="15.75" customHeight="1">
      <c r="K467" s="16"/>
    </row>
    <row r="468" spans="11:11" ht="15.75" customHeight="1">
      <c r="K468" s="16"/>
    </row>
    <row r="469" spans="11:11" ht="15.75" customHeight="1">
      <c r="K469" s="16"/>
    </row>
    <row r="470" spans="11:11" ht="15.75" customHeight="1">
      <c r="K470" s="16"/>
    </row>
    <row r="471" spans="11:11" ht="15.75" customHeight="1">
      <c r="K471" s="16"/>
    </row>
    <row r="472" spans="11:11" ht="15.75" customHeight="1">
      <c r="K472" s="16"/>
    </row>
    <row r="473" spans="11:11" ht="15.75" customHeight="1">
      <c r="K473" s="16"/>
    </row>
    <row r="474" spans="11:11" ht="15.75" customHeight="1">
      <c r="K474" s="16"/>
    </row>
    <row r="475" spans="11:11" ht="15.75" customHeight="1">
      <c r="K475" s="16"/>
    </row>
    <row r="476" spans="11:11" ht="15.75" customHeight="1">
      <c r="K476" s="16"/>
    </row>
    <row r="477" spans="11:11" ht="15.75" customHeight="1">
      <c r="K477" s="16"/>
    </row>
    <row r="478" spans="11:11" ht="15.75" customHeight="1">
      <c r="K478" s="16"/>
    </row>
    <row r="479" spans="11:11" ht="15.75" customHeight="1">
      <c r="K479" s="16"/>
    </row>
    <row r="480" spans="11:11" ht="15.75" customHeight="1">
      <c r="K480" s="16"/>
    </row>
    <row r="481" spans="11:11" ht="15.75" customHeight="1">
      <c r="K481" s="16"/>
    </row>
    <row r="482" spans="11:11" ht="15.75" customHeight="1">
      <c r="K482" s="16"/>
    </row>
    <row r="483" spans="11:11" ht="15.75" customHeight="1">
      <c r="K483" s="16"/>
    </row>
    <row r="484" spans="11:11" ht="15.75" customHeight="1">
      <c r="K484" s="16"/>
    </row>
    <row r="485" spans="11:11" ht="15.75" customHeight="1">
      <c r="K485" s="16"/>
    </row>
    <row r="486" spans="11:11" ht="15.75" customHeight="1">
      <c r="K486" s="16"/>
    </row>
    <row r="487" spans="11:11" ht="15.75" customHeight="1">
      <c r="K487" s="16"/>
    </row>
    <row r="488" spans="11:11" ht="15.75" customHeight="1">
      <c r="K488" s="16"/>
    </row>
    <row r="489" spans="11:11" ht="15.75" customHeight="1">
      <c r="K489" s="16"/>
    </row>
    <row r="490" spans="11:11" ht="15.75" customHeight="1">
      <c r="K490" s="16"/>
    </row>
    <row r="491" spans="11:11" ht="15.75" customHeight="1">
      <c r="K491" s="16"/>
    </row>
    <row r="492" spans="11:11" ht="15.75" customHeight="1">
      <c r="K492" s="16"/>
    </row>
    <row r="493" spans="11:11" ht="15.75" customHeight="1">
      <c r="K493" s="16"/>
    </row>
    <row r="494" spans="11:11" ht="15.75" customHeight="1">
      <c r="K494" s="16"/>
    </row>
    <row r="495" spans="11:11" ht="15.75" customHeight="1">
      <c r="K495" s="16"/>
    </row>
    <row r="496" spans="11:11" ht="15.75" customHeight="1">
      <c r="K496" s="16"/>
    </row>
    <row r="497" spans="11:11" ht="15.75" customHeight="1">
      <c r="K497" s="16"/>
    </row>
    <row r="498" spans="11:11" ht="15.75" customHeight="1">
      <c r="K498" s="16"/>
    </row>
    <row r="499" spans="11:11" ht="15.75" customHeight="1">
      <c r="K499" s="16"/>
    </row>
    <row r="500" spans="11:11" ht="15.75" customHeight="1">
      <c r="K500" s="16"/>
    </row>
    <row r="501" spans="11:11" ht="15.75" customHeight="1"/>
    <row r="502" spans="11:11" ht="15.75" customHeight="1"/>
    <row r="503" spans="11:11" ht="15.75" customHeight="1"/>
    <row r="504" spans="11:11" ht="15.75" customHeight="1"/>
    <row r="505" spans="11:11" ht="15.75" customHeight="1"/>
    <row r="506" spans="11:11" ht="15.75" customHeight="1"/>
    <row r="507" spans="11:11" ht="15.75" customHeight="1"/>
    <row r="508" spans="11:11" ht="15.75" customHeight="1"/>
    <row r="509" spans="11:11" ht="15.75" customHeight="1"/>
    <row r="510" spans="11:11" ht="15.75" customHeight="1"/>
    <row r="511" spans="11:11" ht="15.75" customHeight="1"/>
    <row r="512" spans="11:11"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7" xr:uid="{00000000-0009-0000-0000-000002000000}"/>
  <dataValidations count="1">
    <dataValidation type="list" allowBlank="1" sqref="K2:K500" xr:uid="{00000000-0002-0000-0200-000000000000}">
      <formula1>"TODO,DOING,DONE,BLOCKED"</formula1>
    </dataValidation>
  </dataValidations>
  <pageMargins left="0.25" right="0.25" top="0.45" bottom="0.45"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pageSetUpPr fitToPage="1"/>
  </sheetPr>
  <dimension ref="A1:K1000"/>
  <sheetViews>
    <sheetView showGridLines="0" topLeftCell="I1" workbookViewId="0">
      <pane ySplit="1" topLeftCell="A63" activePane="bottomLeft" state="frozen"/>
      <selection pane="bottomLeft" activeCell="F18" sqref="F18"/>
    </sheetView>
  </sheetViews>
  <sheetFormatPr defaultColWidth="14.44140625" defaultRowHeight="15" customHeight="1"/>
  <cols>
    <col min="1" max="1" width="12" customWidth="1"/>
    <col min="2" max="2" width="18" customWidth="1"/>
    <col min="3" max="3" width="34" customWidth="1"/>
    <col min="4" max="4" width="30" customWidth="1"/>
    <col min="5" max="5" width="50" customWidth="1"/>
    <col min="6" max="6" width="42" customWidth="1"/>
    <col min="7" max="7" width="117.44140625" customWidth="1"/>
    <col min="8" max="9" width="14" customWidth="1"/>
    <col min="10" max="10" width="24" customWidth="1"/>
    <col min="11" max="11" width="32" customWidth="1"/>
    <col min="12" max="26" width="8.6640625" customWidth="1"/>
  </cols>
  <sheetData>
    <row r="1" spans="1:11" ht="37.5" customHeight="1">
      <c r="A1" s="1" t="s">
        <v>531</v>
      </c>
      <c r="B1" s="1" t="s">
        <v>532</v>
      </c>
      <c r="C1" s="1" t="s">
        <v>533</v>
      </c>
      <c r="D1" s="1" t="s">
        <v>534</v>
      </c>
      <c r="E1" s="1" t="s">
        <v>535</v>
      </c>
      <c r="F1" s="1" t="s">
        <v>536</v>
      </c>
      <c r="G1" s="1" t="s">
        <v>537</v>
      </c>
      <c r="H1" s="1" t="s">
        <v>16</v>
      </c>
      <c r="I1" s="1" t="s">
        <v>538</v>
      </c>
      <c r="J1" s="1" t="s">
        <v>539</v>
      </c>
      <c r="K1" s="1" t="s">
        <v>262</v>
      </c>
    </row>
    <row r="2" spans="1:11" ht="14.4" customHeight="1">
      <c r="A2" s="32" t="s">
        <v>384</v>
      </c>
      <c r="B2" s="32" t="s">
        <v>540</v>
      </c>
      <c r="C2" s="32" t="s">
        <v>541</v>
      </c>
      <c r="D2" s="32" t="s">
        <v>542</v>
      </c>
      <c r="E2" s="32" t="s">
        <v>543</v>
      </c>
      <c r="F2" s="32" t="s">
        <v>544</v>
      </c>
      <c r="G2" s="32" t="s">
        <v>545</v>
      </c>
      <c r="H2" s="7" t="s">
        <v>546</v>
      </c>
      <c r="I2" s="33"/>
      <c r="J2" s="33"/>
      <c r="K2" s="33" t="s">
        <v>547</v>
      </c>
    </row>
    <row r="3" spans="1:11" ht="14.4" customHeight="1">
      <c r="A3" s="32" t="s">
        <v>402</v>
      </c>
      <c r="B3" s="32" t="s">
        <v>399</v>
      </c>
      <c r="C3" s="32" t="s">
        <v>548</v>
      </c>
      <c r="D3" s="32" t="s">
        <v>549</v>
      </c>
      <c r="E3" s="32" t="s">
        <v>550</v>
      </c>
      <c r="F3" s="32" t="s">
        <v>551</v>
      </c>
      <c r="G3" s="32" t="s">
        <v>552</v>
      </c>
      <c r="H3" s="7" t="s">
        <v>546</v>
      </c>
      <c r="I3" s="33"/>
      <c r="J3" s="33"/>
      <c r="K3" s="33" t="s">
        <v>553</v>
      </c>
    </row>
    <row r="4" spans="1:11" ht="14.4" customHeight="1">
      <c r="A4" s="32" t="s">
        <v>554</v>
      </c>
      <c r="B4" s="32" t="s">
        <v>399</v>
      </c>
      <c r="C4" s="32" t="s">
        <v>555</v>
      </c>
      <c r="D4" s="32" t="s">
        <v>556</v>
      </c>
      <c r="E4" s="32" t="s">
        <v>557</v>
      </c>
      <c r="F4" s="32" t="s">
        <v>558</v>
      </c>
      <c r="G4" s="32" t="s">
        <v>559</v>
      </c>
      <c r="H4" s="7" t="s">
        <v>546</v>
      </c>
      <c r="I4" s="33"/>
      <c r="J4" s="33"/>
      <c r="K4" s="33" t="s">
        <v>560</v>
      </c>
    </row>
    <row r="5" spans="1:11" ht="14.4" customHeight="1">
      <c r="A5" s="10" t="s">
        <v>561</v>
      </c>
      <c r="B5" s="10" t="s">
        <v>399</v>
      </c>
      <c r="C5" s="10" t="s">
        <v>562</v>
      </c>
      <c r="D5" s="10" t="s">
        <v>556</v>
      </c>
      <c r="E5" s="10" t="s">
        <v>563</v>
      </c>
      <c r="F5" s="10" t="s">
        <v>564</v>
      </c>
      <c r="G5" s="10" t="s">
        <v>565</v>
      </c>
      <c r="H5" s="7" t="s">
        <v>546</v>
      </c>
      <c r="I5" s="10"/>
      <c r="J5" s="10"/>
      <c r="K5" s="10" t="s">
        <v>566</v>
      </c>
    </row>
    <row r="6" spans="1:11" ht="14.4" customHeight="1">
      <c r="A6" s="10" t="s">
        <v>567</v>
      </c>
      <c r="B6" s="10" t="s">
        <v>399</v>
      </c>
      <c r="C6" s="10" t="s">
        <v>568</v>
      </c>
      <c r="D6" s="10" t="s">
        <v>556</v>
      </c>
      <c r="E6" s="10" t="s">
        <v>569</v>
      </c>
      <c r="F6" s="10" t="s">
        <v>570</v>
      </c>
      <c r="G6" s="10" t="s">
        <v>571</v>
      </c>
      <c r="H6" s="7" t="s">
        <v>546</v>
      </c>
      <c r="I6" s="10"/>
      <c r="J6" s="10"/>
      <c r="K6" s="10" t="s">
        <v>572</v>
      </c>
    </row>
    <row r="7" spans="1:11" ht="14.4" customHeight="1">
      <c r="A7" s="10" t="s">
        <v>573</v>
      </c>
      <c r="B7" s="10" t="s">
        <v>574</v>
      </c>
      <c r="C7" s="10" t="s">
        <v>575</v>
      </c>
      <c r="D7" s="10" t="s">
        <v>576</v>
      </c>
      <c r="E7" s="10" t="s">
        <v>577</v>
      </c>
      <c r="F7" s="10" t="s">
        <v>578</v>
      </c>
      <c r="G7" s="10" t="s">
        <v>579</v>
      </c>
      <c r="H7" s="7" t="s">
        <v>546</v>
      </c>
      <c r="I7" s="10"/>
      <c r="J7" s="10"/>
      <c r="K7" s="10" t="s">
        <v>580</v>
      </c>
    </row>
    <row r="8" spans="1:11" ht="14.4" customHeight="1">
      <c r="A8" s="10" t="s">
        <v>581</v>
      </c>
      <c r="B8" s="10" t="s">
        <v>582</v>
      </c>
      <c r="C8" s="10" t="s">
        <v>583</v>
      </c>
      <c r="D8" s="10" t="s">
        <v>584</v>
      </c>
      <c r="E8" s="10" t="s">
        <v>585</v>
      </c>
      <c r="F8" s="10" t="s">
        <v>586</v>
      </c>
      <c r="G8" s="10" t="s">
        <v>587</v>
      </c>
      <c r="H8" s="7" t="s">
        <v>546</v>
      </c>
      <c r="I8" s="10"/>
      <c r="J8" s="10"/>
      <c r="K8" s="10" t="s">
        <v>588</v>
      </c>
    </row>
    <row r="9" spans="1:11" ht="14.4" customHeight="1">
      <c r="A9" s="10" t="s">
        <v>589</v>
      </c>
      <c r="B9" s="10" t="s">
        <v>590</v>
      </c>
      <c r="C9" s="10" t="s">
        <v>591</v>
      </c>
      <c r="D9" s="10" t="s">
        <v>592</v>
      </c>
      <c r="E9" s="10" t="s">
        <v>593</v>
      </c>
      <c r="F9" s="10" t="s">
        <v>594</v>
      </c>
      <c r="G9" s="10" t="s">
        <v>595</v>
      </c>
      <c r="H9" s="7" t="s">
        <v>546</v>
      </c>
      <c r="I9" s="10"/>
      <c r="J9" s="10"/>
      <c r="K9" s="10" t="s">
        <v>596</v>
      </c>
    </row>
    <row r="10" spans="1:11" ht="14.4" customHeight="1">
      <c r="A10" s="10" t="s">
        <v>597</v>
      </c>
      <c r="B10" s="10" t="s">
        <v>590</v>
      </c>
      <c r="C10" s="10" t="s">
        <v>598</v>
      </c>
      <c r="D10" s="10" t="s">
        <v>599</v>
      </c>
      <c r="E10" s="10" t="s">
        <v>593</v>
      </c>
      <c r="F10" s="10" t="s">
        <v>600</v>
      </c>
      <c r="G10" s="10" t="s">
        <v>601</v>
      </c>
      <c r="H10" s="7" t="s">
        <v>546</v>
      </c>
      <c r="I10" s="10"/>
      <c r="J10" s="10"/>
      <c r="K10" s="10" t="s">
        <v>602</v>
      </c>
    </row>
    <row r="11" spans="1:11" ht="14.4" customHeight="1">
      <c r="A11" s="10" t="s">
        <v>603</v>
      </c>
      <c r="B11" s="10" t="s">
        <v>590</v>
      </c>
      <c r="C11" s="10" t="s">
        <v>604</v>
      </c>
      <c r="D11" s="10" t="s">
        <v>605</v>
      </c>
      <c r="E11" s="10" t="s">
        <v>606</v>
      </c>
      <c r="F11" s="10" t="s">
        <v>607</v>
      </c>
      <c r="G11" s="10" t="s">
        <v>608</v>
      </c>
      <c r="H11" s="7" t="s">
        <v>546</v>
      </c>
      <c r="I11" s="10"/>
      <c r="J11" s="10"/>
      <c r="K11" s="10" t="s">
        <v>609</v>
      </c>
    </row>
    <row r="12" spans="1:11" ht="14.4" customHeight="1">
      <c r="A12" s="10" t="s">
        <v>610</v>
      </c>
      <c r="B12" s="10" t="s">
        <v>611</v>
      </c>
      <c r="C12" s="10" t="s">
        <v>612</v>
      </c>
      <c r="D12" s="10" t="s">
        <v>613</v>
      </c>
      <c r="E12" s="10" t="s">
        <v>614</v>
      </c>
      <c r="F12" s="10" t="s">
        <v>615</v>
      </c>
      <c r="G12" s="10" t="s">
        <v>616</v>
      </c>
      <c r="H12" s="7" t="s">
        <v>546</v>
      </c>
      <c r="I12" s="10"/>
      <c r="J12" s="10"/>
      <c r="K12" s="10" t="s">
        <v>588</v>
      </c>
    </row>
    <row r="13" spans="1:11" ht="14.4" customHeight="1">
      <c r="A13" s="10" t="s">
        <v>393</v>
      </c>
      <c r="B13" s="10" t="s">
        <v>391</v>
      </c>
      <c r="C13" s="10" t="s">
        <v>617</v>
      </c>
      <c r="D13" s="10" t="s">
        <v>618</v>
      </c>
      <c r="E13" s="10" t="s">
        <v>619</v>
      </c>
      <c r="F13" s="10" t="s">
        <v>620</v>
      </c>
      <c r="G13" s="10" t="s">
        <v>621</v>
      </c>
      <c r="H13" s="7" t="s">
        <v>546</v>
      </c>
      <c r="I13" s="10"/>
      <c r="J13" s="10"/>
      <c r="K13" s="10" t="s">
        <v>622</v>
      </c>
    </row>
    <row r="14" spans="1:11" ht="14.4" customHeight="1">
      <c r="A14" s="10" t="s">
        <v>623</v>
      </c>
      <c r="B14" s="10" t="s">
        <v>317</v>
      </c>
      <c r="C14" s="10" t="s">
        <v>624</v>
      </c>
      <c r="D14" s="10" t="s">
        <v>625</v>
      </c>
      <c r="E14" s="10" t="s">
        <v>626</v>
      </c>
      <c r="F14" s="10" t="s">
        <v>627</v>
      </c>
      <c r="G14" s="10" t="s">
        <v>628</v>
      </c>
      <c r="H14" s="7" t="s">
        <v>546</v>
      </c>
      <c r="I14" s="10"/>
      <c r="J14" s="10"/>
      <c r="K14" s="10" t="s">
        <v>629</v>
      </c>
    </row>
    <row r="15" spans="1:11" ht="14.4" customHeight="1">
      <c r="A15" s="10" t="s">
        <v>630</v>
      </c>
      <c r="B15" s="10" t="s">
        <v>317</v>
      </c>
      <c r="C15" s="10" t="s">
        <v>631</v>
      </c>
      <c r="D15" s="10" t="s">
        <v>632</v>
      </c>
      <c r="E15" s="10" t="s">
        <v>633</v>
      </c>
      <c r="F15" s="10" t="s">
        <v>634</v>
      </c>
      <c r="G15" s="10" t="s">
        <v>635</v>
      </c>
      <c r="H15" s="7" t="s">
        <v>546</v>
      </c>
      <c r="I15" s="10"/>
      <c r="J15" s="10"/>
      <c r="K15" s="10" t="s">
        <v>572</v>
      </c>
    </row>
    <row r="16" spans="1:11" ht="14.4" customHeight="1">
      <c r="A16" s="10" t="s">
        <v>636</v>
      </c>
      <c r="B16" s="10" t="s">
        <v>317</v>
      </c>
      <c r="C16" s="10" t="s">
        <v>637</v>
      </c>
      <c r="D16" s="10" t="s">
        <v>638</v>
      </c>
      <c r="E16" s="10" t="s">
        <v>639</v>
      </c>
      <c r="F16" s="10" t="s">
        <v>640</v>
      </c>
      <c r="G16" s="10" t="s">
        <v>641</v>
      </c>
      <c r="H16" s="7" t="s">
        <v>546</v>
      </c>
      <c r="I16" s="10"/>
      <c r="J16" s="10"/>
      <c r="K16" s="10" t="s">
        <v>642</v>
      </c>
    </row>
    <row r="17" spans="1:11" ht="14.4" customHeight="1">
      <c r="A17" s="10" t="s">
        <v>643</v>
      </c>
      <c r="B17" s="10" t="s">
        <v>644</v>
      </c>
      <c r="C17" s="10" t="s">
        <v>645</v>
      </c>
      <c r="D17" s="10" t="s">
        <v>646</v>
      </c>
      <c r="E17" s="10" t="s">
        <v>647</v>
      </c>
      <c r="F17" s="10" t="s">
        <v>648</v>
      </c>
      <c r="G17" s="10" t="s">
        <v>649</v>
      </c>
      <c r="H17" s="7" t="s">
        <v>546</v>
      </c>
      <c r="I17" s="10"/>
      <c r="J17" s="10"/>
      <c r="K17" s="10" t="s">
        <v>650</v>
      </c>
    </row>
    <row r="18" spans="1:11" ht="14.4" customHeight="1">
      <c r="A18" s="10" t="s">
        <v>651</v>
      </c>
      <c r="B18" s="10" t="s">
        <v>317</v>
      </c>
      <c r="C18" s="10" t="s">
        <v>652</v>
      </c>
      <c r="D18" s="10" t="s">
        <v>653</v>
      </c>
      <c r="E18" s="10" t="s">
        <v>654</v>
      </c>
      <c r="F18" s="10" t="s">
        <v>655</v>
      </c>
      <c r="G18" s="10" t="s">
        <v>656</v>
      </c>
      <c r="H18" s="7" t="s">
        <v>546</v>
      </c>
      <c r="I18" s="10"/>
      <c r="J18" s="10"/>
      <c r="K18" s="10" t="s">
        <v>657</v>
      </c>
    </row>
    <row r="19" spans="1:11" ht="14.4" customHeight="1">
      <c r="H19" s="16"/>
    </row>
    <row r="20" spans="1:11" ht="14.4" customHeight="1">
      <c r="H20" s="16"/>
    </row>
    <row r="21" spans="1:11" ht="15.75" customHeight="1">
      <c r="H21" s="16"/>
    </row>
    <row r="22" spans="1:11" ht="15.75" customHeight="1">
      <c r="H22" s="16"/>
    </row>
    <row r="23" spans="1:11" ht="15.75" customHeight="1">
      <c r="H23" s="16"/>
    </row>
    <row r="24" spans="1:11" ht="15.75" customHeight="1">
      <c r="H24" s="16"/>
    </row>
    <row r="25" spans="1:11" ht="15.75" customHeight="1">
      <c r="H25" s="16"/>
    </row>
    <row r="26" spans="1:11" ht="15.75" customHeight="1">
      <c r="H26" s="16"/>
    </row>
    <row r="27" spans="1:11" ht="15.75" customHeight="1">
      <c r="H27" s="16"/>
    </row>
    <row r="28" spans="1:11" ht="15.75" customHeight="1">
      <c r="H28" s="16"/>
    </row>
    <row r="29" spans="1:11" ht="15.75" customHeight="1">
      <c r="H29" s="16"/>
    </row>
    <row r="30" spans="1:11" ht="15.75" customHeight="1">
      <c r="H30" s="16"/>
    </row>
    <row r="31" spans="1:11" ht="15.75" customHeight="1">
      <c r="H31" s="16"/>
    </row>
    <row r="32" spans="1:11" ht="15.75" customHeight="1">
      <c r="H32" s="16"/>
    </row>
    <row r="33" spans="8:8" ht="15.75" customHeight="1">
      <c r="H33" s="16"/>
    </row>
    <row r="34" spans="8:8" ht="15.75" customHeight="1">
      <c r="H34" s="16"/>
    </row>
    <row r="35" spans="8:8" ht="15.75" customHeight="1">
      <c r="H35" s="16"/>
    </row>
    <row r="36" spans="8:8" ht="15.75" customHeight="1">
      <c r="H36" s="16"/>
    </row>
    <row r="37" spans="8:8" ht="15.75" customHeight="1">
      <c r="H37" s="16"/>
    </row>
    <row r="38" spans="8:8" ht="15.75" customHeight="1">
      <c r="H38" s="16"/>
    </row>
    <row r="39" spans="8:8" ht="15.75" customHeight="1">
      <c r="H39" s="16"/>
    </row>
    <row r="40" spans="8:8" ht="15.75" customHeight="1">
      <c r="H40" s="16"/>
    </row>
    <row r="41" spans="8:8" ht="15.75" customHeight="1">
      <c r="H41" s="16"/>
    </row>
    <row r="42" spans="8:8" ht="15.75" customHeight="1">
      <c r="H42" s="16"/>
    </row>
    <row r="43" spans="8:8" ht="15.75" customHeight="1">
      <c r="H43" s="16"/>
    </row>
    <row r="44" spans="8:8" ht="15.75" customHeight="1">
      <c r="H44" s="16"/>
    </row>
    <row r="45" spans="8:8" ht="15.75" customHeight="1">
      <c r="H45" s="16"/>
    </row>
    <row r="46" spans="8:8" ht="15.75" customHeight="1">
      <c r="H46" s="16"/>
    </row>
    <row r="47" spans="8:8" ht="15.75" customHeight="1">
      <c r="H47" s="16"/>
    </row>
    <row r="48" spans="8:8" ht="15.75" customHeight="1">
      <c r="H48" s="16"/>
    </row>
    <row r="49" spans="8:8" ht="15.75" customHeight="1">
      <c r="H49" s="16"/>
    </row>
    <row r="50" spans="8:8" ht="15.75" customHeight="1">
      <c r="H50" s="16"/>
    </row>
    <row r="51" spans="8:8" ht="15.75" customHeight="1">
      <c r="H51" s="16"/>
    </row>
    <row r="52" spans="8:8" ht="15.75" customHeight="1">
      <c r="H52" s="16"/>
    </row>
    <row r="53" spans="8:8" ht="15.75" customHeight="1">
      <c r="H53" s="16"/>
    </row>
    <row r="54" spans="8:8" ht="15.75" customHeight="1">
      <c r="H54" s="16"/>
    </row>
    <row r="55" spans="8:8" ht="15.75" customHeight="1">
      <c r="H55" s="16"/>
    </row>
    <row r="56" spans="8:8" ht="15.75" customHeight="1">
      <c r="H56" s="16"/>
    </row>
    <row r="57" spans="8:8" ht="15.75" customHeight="1">
      <c r="H57" s="16"/>
    </row>
    <row r="58" spans="8:8" ht="15.75" customHeight="1">
      <c r="H58" s="16"/>
    </row>
    <row r="59" spans="8:8" ht="15.75" customHeight="1">
      <c r="H59" s="16"/>
    </row>
    <row r="60" spans="8:8" ht="15.75" customHeight="1">
      <c r="H60" s="16"/>
    </row>
    <row r="61" spans="8:8" ht="15.75" customHeight="1">
      <c r="H61" s="16"/>
    </row>
    <row r="62" spans="8:8" ht="15.75" customHeight="1">
      <c r="H62" s="16"/>
    </row>
    <row r="63" spans="8:8" ht="15.75" customHeight="1">
      <c r="H63" s="16"/>
    </row>
    <row r="64" spans="8:8" ht="15.75" customHeight="1">
      <c r="H64" s="16"/>
    </row>
    <row r="65" spans="8:8" ht="15.75" customHeight="1">
      <c r="H65" s="16"/>
    </row>
    <row r="66" spans="8:8" ht="15.75" customHeight="1">
      <c r="H66" s="16"/>
    </row>
    <row r="67" spans="8:8" ht="15.75" customHeight="1">
      <c r="H67" s="16"/>
    </row>
    <row r="68" spans="8:8" ht="15.75" customHeight="1">
      <c r="H68" s="16"/>
    </row>
    <row r="69" spans="8:8" ht="15.75" customHeight="1">
      <c r="H69" s="16"/>
    </row>
    <row r="70" spans="8:8" ht="15.75" customHeight="1">
      <c r="H70" s="16"/>
    </row>
    <row r="71" spans="8:8" ht="15.75" customHeight="1">
      <c r="H71" s="16"/>
    </row>
    <row r="72" spans="8:8" ht="15.75" customHeight="1">
      <c r="H72" s="16"/>
    </row>
    <row r="73" spans="8:8" ht="15.75" customHeight="1">
      <c r="H73" s="16"/>
    </row>
    <row r="74" spans="8:8" ht="15.75" customHeight="1">
      <c r="H74" s="16"/>
    </row>
    <row r="75" spans="8:8" ht="15.75" customHeight="1">
      <c r="H75" s="16"/>
    </row>
    <row r="76" spans="8:8" ht="15.75" customHeight="1">
      <c r="H76" s="16"/>
    </row>
    <row r="77" spans="8:8" ht="15.75" customHeight="1">
      <c r="H77" s="16"/>
    </row>
    <row r="78" spans="8:8" ht="15.75" customHeight="1">
      <c r="H78" s="16"/>
    </row>
    <row r="79" spans="8:8" ht="15.75" customHeight="1">
      <c r="H79" s="16"/>
    </row>
    <row r="80" spans="8:8" ht="15.75" customHeight="1">
      <c r="H80" s="16"/>
    </row>
    <row r="81" spans="8:8" ht="15.75" customHeight="1">
      <c r="H81" s="16"/>
    </row>
    <row r="82" spans="8:8" ht="15.75" customHeight="1">
      <c r="H82" s="16"/>
    </row>
    <row r="83" spans="8:8" ht="15.75" customHeight="1">
      <c r="H83" s="16"/>
    </row>
    <row r="84" spans="8:8" ht="15.75" customHeight="1">
      <c r="H84" s="16"/>
    </row>
    <row r="85" spans="8:8" ht="15.75" customHeight="1">
      <c r="H85" s="16"/>
    </row>
    <row r="86" spans="8:8" ht="15.75" customHeight="1">
      <c r="H86" s="16"/>
    </row>
    <row r="87" spans="8:8" ht="15.75" customHeight="1">
      <c r="H87" s="16"/>
    </row>
    <row r="88" spans="8:8" ht="15.75" customHeight="1">
      <c r="H88" s="16"/>
    </row>
    <row r="89" spans="8:8" ht="15.75" customHeight="1">
      <c r="H89" s="16"/>
    </row>
    <row r="90" spans="8:8" ht="15.75" customHeight="1">
      <c r="H90" s="16"/>
    </row>
    <row r="91" spans="8:8" ht="15.75" customHeight="1">
      <c r="H91" s="16"/>
    </row>
    <row r="92" spans="8:8" ht="15.75" customHeight="1">
      <c r="H92" s="16"/>
    </row>
    <row r="93" spans="8:8" ht="15.75" customHeight="1">
      <c r="H93" s="16"/>
    </row>
    <row r="94" spans="8:8" ht="15.75" customHeight="1">
      <c r="H94" s="16"/>
    </row>
    <row r="95" spans="8:8" ht="15.75" customHeight="1">
      <c r="H95" s="16"/>
    </row>
    <row r="96" spans="8:8" ht="15.75" customHeight="1">
      <c r="H96" s="16"/>
    </row>
    <row r="97" spans="8:8" ht="15.75" customHeight="1">
      <c r="H97" s="16"/>
    </row>
    <row r="98" spans="8:8" ht="15.75" customHeight="1">
      <c r="H98" s="16"/>
    </row>
    <row r="99" spans="8:8" ht="15.75" customHeight="1">
      <c r="H99" s="16"/>
    </row>
    <row r="100" spans="8:8" ht="15.75" customHeight="1">
      <c r="H100" s="16"/>
    </row>
    <row r="101" spans="8:8" ht="15.75" customHeight="1">
      <c r="H101" s="16"/>
    </row>
    <row r="102" spans="8:8" ht="15.75" customHeight="1">
      <c r="H102" s="16"/>
    </row>
    <row r="103" spans="8:8" ht="15.75" customHeight="1">
      <c r="H103" s="16"/>
    </row>
    <row r="104" spans="8:8" ht="15.75" customHeight="1">
      <c r="H104" s="16"/>
    </row>
    <row r="105" spans="8:8" ht="15.75" customHeight="1">
      <c r="H105" s="16"/>
    </row>
    <row r="106" spans="8:8" ht="15.75" customHeight="1">
      <c r="H106" s="16"/>
    </row>
    <row r="107" spans="8:8" ht="15.75" customHeight="1">
      <c r="H107" s="16"/>
    </row>
    <row r="108" spans="8:8" ht="15.75" customHeight="1">
      <c r="H108" s="16"/>
    </row>
    <row r="109" spans="8:8" ht="15.75" customHeight="1">
      <c r="H109" s="16"/>
    </row>
    <row r="110" spans="8:8" ht="15.75" customHeight="1">
      <c r="H110" s="16"/>
    </row>
    <row r="111" spans="8:8" ht="15.75" customHeight="1">
      <c r="H111" s="16"/>
    </row>
    <row r="112" spans="8:8" ht="15.75" customHeight="1">
      <c r="H112" s="16"/>
    </row>
    <row r="113" spans="8:8" ht="15.75" customHeight="1">
      <c r="H113" s="16"/>
    </row>
    <row r="114" spans="8:8" ht="15.75" customHeight="1">
      <c r="H114" s="16"/>
    </row>
    <row r="115" spans="8:8" ht="15.75" customHeight="1">
      <c r="H115" s="16"/>
    </row>
    <row r="116" spans="8:8" ht="15.75" customHeight="1">
      <c r="H116" s="16"/>
    </row>
    <row r="117" spans="8:8" ht="15.75" customHeight="1">
      <c r="H117" s="16"/>
    </row>
    <row r="118" spans="8:8" ht="15.75" customHeight="1">
      <c r="H118" s="16"/>
    </row>
    <row r="119" spans="8:8" ht="15.75" customHeight="1">
      <c r="H119" s="16"/>
    </row>
    <row r="120" spans="8:8" ht="15.75" customHeight="1">
      <c r="H120" s="16"/>
    </row>
    <row r="121" spans="8:8" ht="15.75" customHeight="1">
      <c r="H121" s="16"/>
    </row>
    <row r="122" spans="8:8" ht="15.75" customHeight="1">
      <c r="H122" s="16"/>
    </row>
    <row r="123" spans="8:8" ht="15.75" customHeight="1">
      <c r="H123" s="16"/>
    </row>
    <row r="124" spans="8:8" ht="15.75" customHeight="1">
      <c r="H124" s="16"/>
    </row>
    <row r="125" spans="8:8" ht="15.75" customHeight="1">
      <c r="H125" s="16"/>
    </row>
    <row r="126" spans="8:8" ht="15.75" customHeight="1">
      <c r="H126" s="16"/>
    </row>
    <row r="127" spans="8:8" ht="15.75" customHeight="1">
      <c r="H127" s="16"/>
    </row>
    <row r="128" spans="8:8" ht="15.75" customHeight="1">
      <c r="H128" s="16"/>
    </row>
    <row r="129" spans="8:8" ht="15.75" customHeight="1">
      <c r="H129" s="16"/>
    </row>
    <row r="130" spans="8:8" ht="15.75" customHeight="1">
      <c r="H130" s="16"/>
    </row>
    <row r="131" spans="8:8" ht="15.75" customHeight="1">
      <c r="H131" s="16"/>
    </row>
    <row r="132" spans="8:8" ht="15.75" customHeight="1">
      <c r="H132" s="16"/>
    </row>
    <row r="133" spans="8:8" ht="15.75" customHeight="1">
      <c r="H133" s="16"/>
    </row>
    <row r="134" spans="8:8" ht="15.75" customHeight="1">
      <c r="H134" s="16"/>
    </row>
    <row r="135" spans="8:8" ht="15.75" customHeight="1">
      <c r="H135" s="16"/>
    </row>
    <row r="136" spans="8:8" ht="15.75" customHeight="1">
      <c r="H136" s="16"/>
    </row>
    <row r="137" spans="8:8" ht="15.75" customHeight="1">
      <c r="H137" s="16"/>
    </row>
    <row r="138" spans="8:8" ht="15.75" customHeight="1">
      <c r="H138" s="16"/>
    </row>
    <row r="139" spans="8:8" ht="15.75" customHeight="1">
      <c r="H139" s="16"/>
    </row>
    <row r="140" spans="8:8" ht="15.75" customHeight="1">
      <c r="H140" s="16"/>
    </row>
    <row r="141" spans="8:8" ht="15.75" customHeight="1">
      <c r="H141" s="16"/>
    </row>
    <row r="142" spans="8:8" ht="15.75" customHeight="1">
      <c r="H142" s="16"/>
    </row>
    <row r="143" spans="8:8" ht="15.75" customHeight="1">
      <c r="H143" s="16"/>
    </row>
    <row r="144" spans="8:8" ht="15.75" customHeight="1">
      <c r="H144" s="16"/>
    </row>
    <row r="145" spans="8:8" ht="15.75" customHeight="1">
      <c r="H145" s="16"/>
    </row>
    <row r="146" spans="8:8" ht="15.75" customHeight="1">
      <c r="H146" s="16"/>
    </row>
    <row r="147" spans="8:8" ht="15.75" customHeight="1">
      <c r="H147" s="16"/>
    </row>
    <row r="148" spans="8:8" ht="15.75" customHeight="1">
      <c r="H148" s="16"/>
    </row>
    <row r="149" spans="8:8" ht="15.75" customHeight="1">
      <c r="H149" s="16"/>
    </row>
    <row r="150" spans="8:8" ht="15.75" customHeight="1">
      <c r="H150" s="16"/>
    </row>
    <row r="151" spans="8:8" ht="15.75" customHeight="1">
      <c r="H151" s="16"/>
    </row>
    <row r="152" spans="8:8" ht="15.75" customHeight="1">
      <c r="H152" s="16"/>
    </row>
    <row r="153" spans="8:8" ht="15.75" customHeight="1">
      <c r="H153" s="16"/>
    </row>
    <row r="154" spans="8:8" ht="15.75" customHeight="1">
      <c r="H154" s="16"/>
    </row>
    <row r="155" spans="8:8" ht="15.75" customHeight="1">
      <c r="H155" s="16"/>
    </row>
    <row r="156" spans="8:8" ht="15.75" customHeight="1">
      <c r="H156" s="16"/>
    </row>
    <row r="157" spans="8:8" ht="15.75" customHeight="1">
      <c r="H157" s="16"/>
    </row>
    <row r="158" spans="8:8" ht="15.75" customHeight="1">
      <c r="H158" s="16"/>
    </row>
    <row r="159" spans="8:8" ht="15.75" customHeight="1">
      <c r="H159" s="16"/>
    </row>
    <row r="160" spans="8:8" ht="15.75" customHeight="1">
      <c r="H160" s="16"/>
    </row>
    <row r="161" spans="8:8" ht="15.75" customHeight="1">
      <c r="H161" s="16"/>
    </row>
    <row r="162" spans="8:8" ht="15.75" customHeight="1">
      <c r="H162" s="16"/>
    </row>
    <row r="163" spans="8:8" ht="15.75" customHeight="1">
      <c r="H163" s="16"/>
    </row>
    <row r="164" spans="8:8" ht="15.75" customHeight="1">
      <c r="H164" s="16"/>
    </row>
    <row r="165" spans="8:8" ht="15.75" customHeight="1">
      <c r="H165" s="16"/>
    </row>
    <row r="166" spans="8:8" ht="15.75" customHeight="1">
      <c r="H166" s="16"/>
    </row>
    <row r="167" spans="8:8" ht="15.75" customHeight="1">
      <c r="H167" s="16"/>
    </row>
    <row r="168" spans="8:8" ht="15.75" customHeight="1">
      <c r="H168" s="16"/>
    </row>
    <row r="169" spans="8:8" ht="15.75" customHeight="1">
      <c r="H169" s="16"/>
    </row>
    <row r="170" spans="8:8" ht="15.75" customHeight="1">
      <c r="H170" s="16"/>
    </row>
    <row r="171" spans="8:8" ht="15.75" customHeight="1">
      <c r="H171" s="16"/>
    </row>
    <row r="172" spans="8:8" ht="15.75" customHeight="1">
      <c r="H172" s="16"/>
    </row>
    <row r="173" spans="8:8" ht="15.75" customHeight="1">
      <c r="H173" s="16"/>
    </row>
    <row r="174" spans="8:8" ht="15.75" customHeight="1">
      <c r="H174" s="16"/>
    </row>
    <row r="175" spans="8:8" ht="15.75" customHeight="1">
      <c r="H175" s="16"/>
    </row>
    <row r="176" spans="8:8" ht="15.75" customHeight="1">
      <c r="H176" s="16"/>
    </row>
    <row r="177" spans="8:8" ht="15.75" customHeight="1">
      <c r="H177" s="16"/>
    </row>
    <row r="178" spans="8:8" ht="15.75" customHeight="1">
      <c r="H178" s="16"/>
    </row>
    <row r="179" spans="8:8" ht="15.75" customHeight="1">
      <c r="H179" s="16"/>
    </row>
    <row r="180" spans="8:8" ht="15.75" customHeight="1">
      <c r="H180" s="16"/>
    </row>
    <row r="181" spans="8:8" ht="15.75" customHeight="1">
      <c r="H181" s="16"/>
    </row>
    <row r="182" spans="8:8" ht="15.75" customHeight="1">
      <c r="H182" s="16"/>
    </row>
    <row r="183" spans="8:8" ht="15.75" customHeight="1">
      <c r="H183" s="16"/>
    </row>
    <row r="184" spans="8:8" ht="15.75" customHeight="1">
      <c r="H184" s="16"/>
    </row>
    <row r="185" spans="8:8" ht="15.75" customHeight="1">
      <c r="H185" s="16"/>
    </row>
    <row r="186" spans="8:8" ht="15.75" customHeight="1">
      <c r="H186" s="16"/>
    </row>
    <row r="187" spans="8:8" ht="15.75" customHeight="1">
      <c r="H187" s="16"/>
    </row>
    <row r="188" spans="8:8" ht="15.75" customHeight="1">
      <c r="H188" s="16"/>
    </row>
    <row r="189" spans="8:8" ht="15.75" customHeight="1">
      <c r="H189" s="16"/>
    </row>
    <row r="190" spans="8:8" ht="15.75" customHeight="1">
      <c r="H190" s="16"/>
    </row>
    <row r="191" spans="8:8" ht="15.75" customHeight="1">
      <c r="H191" s="16"/>
    </row>
    <row r="192" spans="8:8" ht="15.75" customHeight="1">
      <c r="H192" s="16"/>
    </row>
    <row r="193" spans="8:8" ht="15.75" customHeight="1">
      <c r="H193" s="16"/>
    </row>
    <row r="194" spans="8:8" ht="15.75" customHeight="1">
      <c r="H194" s="16"/>
    </row>
    <row r="195" spans="8:8" ht="15.75" customHeight="1">
      <c r="H195" s="16"/>
    </row>
    <row r="196" spans="8:8" ht="15.75" customHeight="1">
      <c r="H196" s="16"/>
    </row>
    <row r="197" spans="8:8" ht="15.75" customHeight="1">
      <c r="H197" s="16"/>
    </row>
    <row r="198" spans="8:8" ht="15.75" customHeight="1">
      <c r="H198" s="16"/>
    </row>
    <row r="199" spans="8:8" ht="15.75" customHeight="1">
      <c r="H199" s="16"/>
    </row>
    <row r="200" spans="8:8" ht="15.75" customHeight="1">
      <c r="H200" s="16"/>
    </row>
    <row r="201" spans="8:8" ht="15.75" customHeight="1">
      <c r="H201" s="16"/>
    </row>
    <row r="202" spans="8:8" ht="15.75" customHeight="1">
      <c r="H202" s="16"/>
    </row>
    <row r="203" spans="8:8" ht="15.75" customHeight="1">
      <c r="H203" s="16"/>
    </row>
    <row r="204" spans="8:8" ht="15.75" customHeight="1">
      <c r="H204" s="16"/>
    </row>
    <row r="205" spans="8:8" ht="15.75" customHeight="1">
      <c r="H205" s="16"/>
    </row>
    <row r="206" spans="8:8" ht="15.75" customHeight="1">
      <c r="H206" s="16"/>
    </row>
    <row r="207" spans="8:8" ht="15.75" customHeight="1">
      <c r="H207" s="16"/>
    </row>
    <row r="208" spans="8:8" ht="15.75" customHeight="1">
      <c r="H208" s="16"/>
    </row>
    <row r="209" spans="8:8" ht="15.75" customHeight="1">
      <c r="H209" s="16"/>
    </row>
    <row r="210" spans="8:8" ht="15.75" customHeight="1">
      <c r="H210" s="16"/>
    </row>
    <row r="211" spans="8:8" ht="15.75" customHeight="1">
      <c r="H211" s="16"/>
    </row>
    <row r="212" spans="8:8" ht="15.75" customHeight="1">
      <c r="H212" s="16"/>
    </row>
    <row r="213" spans="8:8" ht="15.75" customHeight="1">
      <c r="H213" s="16"/>
    </row>
    <row r="214" spans="8:8" ht="15.75" customHeight="1">
      <c r="H214" s="16"/>
    </row>
    <row r="215" spans="8:8" ht="15.75" customHeight="1">
      <c r="H215" s="16"/>
    </row>
    <row r="216" spans="8:8" ht="15.75" customHeight="1">
      <c r="H216" s="16"/>
    </row>
    <row r="217" spans="8:8" ht="15.75" customHeight="1">
      <c r="H217" s="16"/>
    </row>
    <row r="218" spans="8:8" ht="15.75" customHeight="1">
      <c r="H218" s="16"/>
    </row>
    <row r="219" spans="8:8" ht="15.75" customHeight="1">
      <c r="H219" s="16"/>
    </row>
    <row r="220" spans="8:8" ht="15.75" customHeight="1">
      <c r="H220" s="16"/>
    </row>
    <row r="221" spans="8:8" ht="15.75" customHeight="1">
      <c r="H221" s="16"/>
    </row>
    <row r="222" spans="8:8" ht="15.75" customHeight="1">
      <c r="H222" s="16"/>
    </row>
    <row r="223" spans="8:8" ht="15.75" customHeight="1">
      <c r="H223" s="16"/>
    </row>
    <row r="224" spans="8:8" ht="15.75" customHeight="1">
      <c r="H224" s="16"/>
    </row>
    <row r="225" spans="8:8" ht="15.75" customHeight="1">
      <c r="H225" s="16"/>
    </row>
    <row r="226" spans="8:8" ht="15.75" customHeight="1">
      <c r="H226" s="16"/>
    </row>
    <row r="227" spans="8:8" ht="15.75" customHeight="1">
      <c r="H227" s="16"/>
    </row>
    <row r="228" spans="8:8" ht="15.75" customHeight="1">
      <c r="H228" s="16"/>
    </row>
    <row r="229" spans="8:8" ht="15.75" customHeight="1">
      <c r="H229" s="16"/>
    </row>
    <row r="230" spans="8:8" ht="15.75" customHeight="1">
      <c r="H230" s="16"/>
    </row>
    <row r="231" spans="8:8" ht="15.75" customHeight="1">
      <c r="H231" s="16"/>
    </row>
    <row r="232" spans="8:8" ht="15.75" customHeight="1">
      <c r="H232" s="16"/>
    </row>
    <row r="233" spans="8:8" ht="15.75" customHeight="1">
      <c r="H233" s="16"/>
    </row>
    <row r="234" spans="8:8" ht="15.75" customHeight="1">
      <c r="H234" s="16"/>
    </row>
    <row r="235" spans="8:8" ht="15.75" customHeight="1">
      <c r="H235" s="16"/>
    </row>
    <row r="236" spans="8:8" ht="15.75" customHeight="1">
      <c r="H236" s="16"/>
    </row>
    <row r="237" spans="8:8" ht="15.75" customHeight="1">
      <c r="H237" s="16"/>
    </row>
    <row r="238" spans="8:8" ht="15.75" customHeight="1">
      <c r="H238" s="16"/>
    </row>
    <row r="239" spans="8:8" ht="15.75" customHeight="1">
      <c r="H239" s="16"/>
    </row>
    <row r="240" spans="8:8" ht="15.75" customHeight="1">
      <c r="H240" s="16"/>
    </row>
    <row r="241" spans="8:8" ht="15.75" customHeight="1">
      <c r="H241" s="16"/>
    </row>
    <row r="242" spans="8:8" ht="15.75" customHeight="1">
      <c r="H242" s="16"/>
    </row>
    <row r="243" spans="8:8" ht="15.75" customHeight="1">
      <c r="H243" s="16"/>
    </row>
    <row r="244" spans="8:8" ht="15.75" customHeight="1">
      <c r="H244" s="16"/>
    </row>
    <row r="245" spans="8:8" ht="15.75" customHeight="1">
      <c r="H245" s="16"/>
    </row>
    <row r="246" spans="8:8" ht="15.75" customHeight="1">
      <c r="H246" s="16"/>
    </row>
    <row r="247" spans="8:8" ht="15.75" customHeight="1">
      <c r="H247" s="16"/>
    </row>
    <row r="248" spans="8:8" ht="15.75" customHeight="1">
      <c r="H248" s="16"/>
    </row>
    <row r="249" spans="8:8" ht="15.75" customHeight="1">
      <c r="H249" s="16"/>
    </row>
    <row r="250" spans="8:8" ht="15.75" customHeight="1">
      <c r="H250" s="16"/>
    </row>
    <row r="251" spans="8:8" ht="15.75" customHeight="1">
      <c r="H251" s="16"/>
    </row>
    <row r="252" spans="8:8" ht="15.75" customHeight="1">
      <c r="H252" s="16"/>
    </row>
    <row r="253" spans="8:8" ht="15.75" customHeight="1">
      <c r="H253" s="16"/>
    </row>
    <row r="254" spans="8:8" ht="15.75" customHeight="1">
      <c r="H254" s="16"/>
    </row>
    <row r="255" spans="8:8" ht="15.75" customHeight="1">
      <c r="H255" s="16"/>
    </row>
    <row r="256" spans="8:8" ht="15.75" customHeight="1">
      <c r="H256" s="16"/>
    </row>
    <row r="257" spans="8:8" ht="15.75" customHeight="1">
      <c r="H257" s="16"/>
    </row>
    <row r="258" spans="8:8" ht="15.75" customHeight="1">
      <c r="H258" s="16"/>
    </row>
    <row r="259" spans="8:8" ht="15.75" customHeight="1">
      <c r="H259" s="16"/>
    </row>
    <row r="260" spans="8:8" ht="15.75" customHeight="1">
      <c r="H260" s="16"/>
    </row>
    <row r="261" spans="8:8" ht="15.75" customHeight="1">
      <c r="H261" s="16"/>
    </row>
    <row r="262" spans="8:8" ht="15.75" customHeight="1">
      <c r="H262" s="16"/>
    </row>
    <row r="263" spans="8:8" ht="15.75" customHeight="1">
      <c r="H263" s="16"/>
    </row>
    <row r="264" spans="8:8" ht="15.75" customHeight="1">
      <c r="H264" s="16"/>
    </row>
    <row r="265" spans="8:8" ht="15.75" customHeight="1">
      <c r="H265" s="16"/>
    </row>
    <row r="266" spans="8:8" ht="15.75" customHeight="1">
      <c r="H266" s="16"/>
    </row>
    <row r="267" spans="8:8" ht="15.75" customHeight="1">
      <c r="H267" s="16"/>
    </row>
    <row r="268" spans="8:8" ht="15.75" customHeight="1">
      <c r="H268" s="16"/>
    </row>
    <row r="269" spans="8:8" ht="15.75" customHeight="1">
      <c r="H269" s="16"/>
    </row>
    <row r="270" spans="8:8" ht="15.75" customHeight="1">
      <c r="H270" s="16"/>
    </row>
    <row r="271" spans="8:8" ht="15.75" customHeight="1">
      <c r="H271" s="16"/>
    </row>
    <row r="272" spans="8:8" ht="15.75" customHeight="1">
      <c r="H272" s="16"/>
    </row>
    <row r="273" spans="8:8" ht="15.75" customHeight="1">
      <c r="H273" s="16"/>
    </row>
    <row r="274" spans="8:8" ht="15.75" customHeight="1">
      <c r="H274" s="16"/>
    </row>
    <row r="275" spans="8:8" ht="15.75" customHeight="1">
      <c r="H275" s="16"/>
    </row>
    <row r="276" spans="8:8" ht="15.75" customHeight="1">
      <c r="H276" s="16"/>
    </row>
    <row r="277" spans="8:8" ht="15.75" customHeight="1">
      <c r="H277" s="16"/>
    </row>
    <row r="278" spans="8:8" ht="15.75" customHeight="1">
      <c r="H278" s="16"/>
    </row>
    <row r="279" spans="8:8" ht="15.75" customHeight="1">
      <c r="H279" s="16"/>
    </row>
    <row r="280" spans="8:8" ht="15.75" customHeight="1">
      <c r="H280" s="16"/>
    </row>
    <row r="281" spans="8:8" ht="15.75" customHeight="1">
      <c r="H281" s="16"/>
    </row>
    <row r="282" spans="8:8" ht="15.75" customHeight="1">
      <c r="H282" s="16"/>
    </row>
    <row r="283" spans="8:8" ht="15.75" customHeight="1">
      <c r="H283" s="16"/>
    </row>
    <row r="284" spans="8:8" ht="15.75" customHeight="1">
      <c r="H284" s="16"/>
    </row>
    <row r="285" spans="8:8" ht="15.75" customHeight="1">
      <c r="H285" s="16"/>
    </row>
    <row r="286" spans="8:8" ht="15.75" customHeight="1">
      <c r="H286" s="16"/>
    </row>
    <row r="287" spans="8:8" ht="15.75" customHeight="1">
      <c r="H287" s="16"/>
    </row>
    <row r="288" spans="8:8" ht="15.75" customHeight="1">
      <c r="H288" s="16"/>
    </row>
    <row r="289" spans="8:8" ht="15.75" customHeight="1">
      <c r="H289" s="16"/>
    </row>
    <row r="290" spans="8:8" ht="15.75" customHeight="1">
      <c r="H290" s="16"/>
    </row>
    <row r="291" spans="8:8" ht="15.75" customHeight="1">
      <c r="H291" s="16"/>
    </row>
    <row r="292" spans="8:8" ht="15.75" customHeight="1">
      <c r="H292" s="16"/>
    </row>
    <row r="293" spans="8:8" ht="15.75" customHeight="1">
      <c r="H293" s="16"/>
    </row>
    <row r="294" spans="8:8" ht="15.75" customHeight="1">
      <c r="H294" s="16"/>
    </row>
    <row r="295" spans="8:8" ht="15.75" customHeight="1">
      <c r="H295" s="16"/>
    </row>
    <row r="296" spans="8:8" ht="15.75" customHeight="1">
      <c r="H296" s="16"/>
    </row>
    <row r="297" spans="8:8" ht="15.75" customHeight="1">
      <c r="H297" s="16"/>
    </row>
    <row r="298" spans="8:8" ht="15.75" customHeight="1">
      <c r="H298" s="16"/>
    </row>
    <row r="299" spans="8:8" ht="15.75" customHeight="1">
      <c r="H299" s="16"/>
    </row>
    <row r="300" spans="8:8" ht="15.75" customHeight="1">
      <c r="H300" s="16"/>
    </row>
    <row r="301" spans="8:8" ht="15.75" customHeight="1">
      <c r="H301" s="16"/>
    </row>
    <row r="302" spans="8:8" ht="15.75" customHeight="1">
      <c r="H302" s="16"/>
    </row>
    <row r="303" spans="8:8" ht="15.75" customHeight="1">
      <c r="H303" s="16"/>
    </row>
    <row r="304" spans="8:8" ht="15.75" customHeight="1">
      <c r="H304" s="16"/>
    </row>
    <row r="305" spans="8:8" ht="15.75" customHeight="1">
      <c r="H305" s="16"/>
    </row>
    <row r="306" spans="8:8" ht="15.75" customHeight="1">
      <c r="H306" s="16"/>
    </row>
    <row r="307" spans="8:8" ht="15.75" customHeight="1">
      <c r="H307" s="16"/>
    </row>
    <row r="308" spans="8:8" ht="15.75" customHeight="1">
      <c r="H308" s="16"/>
    </row>
    <row r="309" spans="8:8" ht="15.75" customHeight="1">
      <c r="H309" s="16"/>
    </row>
    <row r="310" spans="8:8" ht="15.75" customHeight="1">
      <c r="H310" s="16"/>
    </row>
    <row r="311" spans="8:8" ht="15.75" customHeight="1">
      <c r="H311" s="16"/>
    </row>
    <row r="312" spans="8:8" ht="15.75" customHeight="1">
      <c r="H312" s="16"/>
    </row>
    <row r="313" spans="8:8" ht="15.75" customHeight="1">
      <c r="H313" s="16"/>
    </row>
    <row r="314" spans="8:8" ht="15.75" customHeight="1">
      <c r="H314" s="16"/>
    </row>
    <row r="315" spans="8:8" ht="15.75" customHeight="1">
      <c r="H315" s="16"/>
    </row>
    <row r="316" spans="8:8" ht="15.75" customHeight="1">
      <c r="H316" s="16"/>
    </row>
    <row r="317" spans="8:8" ht="15.75" customHeight="1">
      <c r="H317" s="16"/>
    </row>
    <row r="318" spans="8:8" ht="15.75" customHeight="1">
      <c r="H318" s="16"/>
    </row>
    <row r="319" spans="8:8" ht="15.75" customHeight="1">
      <c r="H319" s="16"/>
    </row>
    <row r="320" spans="8:8" ht="15.75" customHeight="1">
      <c r="H320" s="16"/>
    </row>
    <row r="321" spans="8:8" ht="15.75" customHeight="1">
      <c r="H321" s="16"/>
    </row>
    <row r="322" spans="8:8" ht="15.75" customHeight="1">
      <c r="H322" s="16"/>
    </row>
    <row r="323" spans="8:8" ht="15.75" customHeight="1">
      <c r="H323" s="16"/>
    </row>
    <row r="324" spans="8:8" ht="15.75" customHeight="1">
      <c r="H324" s="16"/>
    </row>
    <row r="325" spans="8:8" ht="15.75" customHeight="1">
      <c r="H325" s="16"/>
    </row>
    <row r="326" spans="8:8" ht="15.75" customHeight="1">
      <c r="H326" s="16"/>
    </row>
    <row r="327" spans="8:8" ht="15.75" customHeight="1">
      <c r="H327" s="16"/>
    </row>
    <row r="328" spans="8:8" ht="15.75" customHeight="1">
      <c r="H328" s="16"/>
    </row>
    <row r="329" spans="8:8" ht="15.75" customHeight="1">
      <c r="H329" s="16"/>
    </row>
    <row r="330" spans="8:8" ht="15.75" customHeight="1">
      <c r="H330" s="16"/>
    </row>
    <row r="331" spans="8:8" ht="15.75" customHeight="1">
      <c r="H331" s="16"/>
    </row>
    <row r="332" spans="8:8" ht="15.75" customHeight="1">
      <c r="H332" s="16"/>
    </row>
    <row r="333" spans="8:8" ht="15.75" customHeight="1">
      <c r="H333" s="16"/>
    </row>
    <row r="334" spans="8:8" ht="15.75" customHeight="1">
      <c r="H334" s="16"/>
    </row>
    <row r="335" spans="8:8" ht="15.75" customHeight="1">
      <c r="H335" s="16"/>
    </row>
    <row r="336" spans="8:8" ht="15.75" customHeight="1">
      <c r="H336" s="16"/>
    </row>
    <row r="337" spans="8:8" ht="15.75" customHeight="1">
      <c r="H337" s="16"/>
    </row>
    <row r="338" spans="8:8" ht="15.75" customHeight="1">
      <c r="H338" s="16"/>
    </row>
    <row r="339" spans="8:8" ht="15.75" customHeight="1">
      <c r="H339" s="16"/>
    </row>
    <row r="340" spans="8:8" ht="15.75" customHeight="1">
      <c r="H340" s="16"/>
    </row>
    <row r="341" spans="8:8" ht="15.75" customHeight="1">
      <c r="H341" s="16"/>
    </row>
    <row r="342" spans="8:8" ht="15.75" customHeight="1">
      <c r="H342" s="16"/>
    </row>
    <row r="343" spans="8:8" ht="15.75" customHeight="1">
      <c r="H343" s="16"/>
    </row>
    <row r="344" spans="8:8" ht="15.75" customHeight="1">
      <c r="H344" s="16"/>
    </row>
    <row r="345" spans="8:8" ht="15.75" customHeight="1">
      <c r="H345" s="16"/>
    </row>
    <row r="346" spans="8:8" ht="15.75" customHeight="1">
      <c r="H346" s="16"/>
    </row>
    <row r="347" spans="8:8" ht="15.75" customHeight="1">
      <c r="H347" s="16"/>
    </row>
    <row r="348" spans="8:8" ht="15.75" customHeight="1">
      <c r="H348" s="16"/>
    </row>
    <row r="349" spans="8:8" ht="15.75" customHeight="1">
      <c r="H349" s="16"/>
    </row>
    <row r="350" spans="8:8" ht="15.75" customHeight="1">
      <c r="H350" s="16"/>
    </row>
    <row r="351" spans="8:8" ht="15.75" customHeight="1">
      <c r="H351" s="16"/>
    </row>
    <row r="352" spans="8:8" ht="15.75" customHeight="1">
      <c r="H352" s="16"/>
    </row>
    <row r="353" spans="8:8" ht="15.75" customHeight="1">
      <c r="H353" s="16"/>
    </row>
    <row r="354" spans="8:8" ht="15.75" customHeight="1">
      <c r="H354" s="16"/>
    </row>
    <row r="355" spans="8:8" ht="15.75" customHeight="1">
      <c r="H355" s="16"/>
    </row>
    <row r="356" spans="8:8" ht="15.75" customHeight="1">
      <c r="H356" s="16"/>
    </row>
    <row r="357" spans="8:8" ht="15.75" customHeight="1">
      <c r="H357" s="16"/>
    </row>
    <row r="358" spans="8:8" ht="15.75" customHeight="1">
      <c r="H358" s="16"/>
    </row>
    <row r="359" spans="8:8" ht="15.75" customHeight="1">
      <c r="H359" s="16"/>
    </row>
    <row r="360" spans="8:8" ht="15.75" customHeight="1">
      <c r="H360" s="16"/>
    </row>
    <row r="361" spans="8:8" ht="15.75" customHeight="1">
      <c r="H361" s="16"/>
    </row>
    <row r="362" spans="8:8" ht="15.75" customHeight="1">
      <c r="H362" s="16"/>
    </row>
    <row r="363" spans="8:8" ht="15.75" customHeight="1">
      <c r="H363" s="16"/>
    </row>
    <row r="364" spans="8:8" ht="15.75" customHeight="1">
      <c r="H364" s="16"/>
    </row>
    <row r="365" spans="8:8" ht="15.75" customHeight="1">
      <c r="H365" s="16"/>
    </row>
    <row r="366" spans="8:8" ht="15.75" customHeight="1">
      <c r="H366" s="16"/>
    </row>
    <row r="367" spans="8:8" ht="15.75" customHeight="1">
      <c r="H367" s="16"/>
    </row>
    <row r="368" spans="8:8" ht="15.75" customHeight="1">
      <c r="H368" s="16"/>
    </row>
    <row r="369" spans="8:8" ht="15.75" customHeight="1">
      <c r="H369" s="16"/>
    </row>
    <row r="370" spans="8:8" ht="15.75" customHeight="1">
      <c r="H370" s="16"/>
    </row>
    <row r="371" spans="8:8" ht="15.75" customHeight="1">
      <c r="H371" s="16"/>
    </row>
    <row r="372" spans="8:8" ht="15.75" customHeight="1">
      <c r="H372" s="16"/>
    </row>
    <row r="373" spans="8:8" ht="15.75" customHeight="1">
      <c r="H373" s="16"/>
    </row>
    <row r="374" spans="8:8" ht="15.75" customHeight="1">
      <c r="H374" s="16"/>
    </row>
    <row r="375" spans="8:8" ht="15.75" customHeight="1">
      <c r="H375" s="16"/>
    </row>
    <row r="376" spans="8:8" ht="15.75" customHeight="1">
      <c r="H376" s="16"/>
    </row>
    <row r="377" spans="8:8" ht="15.75" customHeight="1">
      <c r="H377" s="16"/>
    </row>
    <row r="378" spans="8:8" ht="15.75" customHeight="1">
      <c r="H378" s="16"/>
    </row>
    <row r="379" spans="8:8" ht="15.75" customHeight="1">
      <c r="H379" s="16"/>
    </row>
    <row r="380" spans="8:8" ht="15.75" customHeight="1">
      <c r="H380" s="16"/>
    </row>
    <row r="381" spans="8:8" ht="15.75" customHeight="1">
      <c r="H381" s="16"/>
    </row>
    <row r="382" spans="8:8" ht="15.75" customHeight="1">
      <c r="H382" s="16"/>
    </row>
    <row r="383" spans="8:8" ht="15.75" customHeight="1">
      <c r="H383" s="16"/>
    </row>
    <row r="384" spans="8:8" ht="15.75" customHeight="1">
      <c r="H384" s="16"/>
    </row>
    <row r="385" spans="8:8" ht="15.75" customHeight="1">
      <c r="H385" s="16"/>
    </row>
    <row r="386" spans="8:8" ht="15.75" customHeight="1">
      <c r="H386" s="16"/>
    </row>
    <row r="387" spans="8:8" ht="15.75" customHeight="1">
      <c r="H387" s="16"/>
    </row>
    <row r="388" spans="8:8" ht="15.75" customHeight="1">
      <c r="H388" s="16"/>
    </row>
    <row r="389" spans="8:8" ht="15.75" customHeight="1">
      <c r="H389" s="16"/>
    </row>
    <row r="390" spans="8:8" ht="15.75" customHeight="1">
      <c r="H390" s="16"/>
    </row>
    <row r="391" spans="8:8" ht="15.75" customHeight="1">
      <c r="H391" s="16"/>
    </row>
    <row r="392" spans="8:8" ht="15.75" customHeight="1">
      <c r="H392" s="16"/>
    </row>
    <row r="393" spans="8:8" ht="15.75" customHeight="1">
      <c r="H393" s="16"/>
    </row>
    <row r="394" spans="8:8" ht="15.75" customHeight="1">
      <c r="H394" s="16"/>
    </row>
    <row r="395" spans="8:8" ht="15.75" customHeight="1">
      <c r="H395" s="16"/>
    </row>
    <row r="396" spans="8:8" ht="15.75" customHeight="1">
      <c r="H396" s="16"/>
    </row>
    <row r="397" spans="8:8" ht="15.75" customHeight="1">
      <c r="H397" s="16"/>
    </row>
    <row r="398" spans="8:8" ht="15.75" customHeight="1">
      <c r="H398" s="16"/>
    </row>
    <row r="399" spans="8:8" ht="15.75" customHeight="1">
      <c r="H399" s="16"/>
    </row>
    <row r="400" spans="8:8" ht="15.75" customHeight="1">
      <c r="H400" s="16"/>
    </row>
    <row r="401" spans="8:8" ht="15.75" customHeight="1">
      <c r="H401" s="16"/>
    </row>
    <row r="402" spans="8:8" ht="15.75" customHeight="1">
      <c r="H402" s="16"/>
    </row>
    <row r="403" spans="8:8" ht="15.75" customHeight="1">
      <c r="H403" s="16"/>
    </row>
    <row r="404" spans="8:8" ht="15.75" customHeight="1">
      <c r="H404" s="16"/>
    </row>
    <row r="405" spans="8:8" ht="15.75" customHeight="1">
      <c r="H405" s="16"/>
    </row>
    <row r="406" spans="8:8" ht="15.75" customHeight="1">
      <c r="H406" s="16"/>
    </row>
    <row r="407" spans="8:8" ht="15.75" customHeight="1">
      <c r="H407" s="16"/>
    </row>
    <row r="408" spans="8:8" ht="15.75" customHeight="1">
      <c r="H408" s="16"/>
    </row>
    <row r="409" spans="8:8" ht="15.75" customHeight="1">
      <c r="H409" s="16"/>
    </row>
    <row r="410" spans="8:8" ht="15.75" customHeight="1">
      <c r="H410" s="16"/>
    </row>
    <row r="411" spans="8:8" ht="15.75" customHeight="1">
      <c r="H411" s="16"/>
    </row>
    <row r="412" spans="8:8" ht="15.75" customHeight="1">
      <c r="H412" s="16"/>
    </row>
    <row r="413" spans="8:8" ht="15.75" customHeight="1">
      <c r="H413" s="16"/>
    </row>
    <row r="414" spans="8:8" ht="15.75" customHeight="1">
      <c r="H414" s="16"/>
    </row>
    <row r="415" spans="8:8" ht="15.75" customHeight="1">
      <c r="H415" s="16"/>
    </row>
    <row r="416" spans="8:8" ht="15.75" customHeight="1">
      <c r="H416" s="16"/>
    </row>
    <row r="417" spans="8:8" ht="15.75" customHeight="1">
      <c r="H417" s="16"/>
    </row>
    <row r="418" spans="8:8" ht="15.75" customHeight="1">
      <c r="H418" s="16"/>
    </row>
    <row r="419" spans="8:8" ht="15.75" customHeight="1">
      <c r="H419" s="16"/>
    </row>
    <row r="420" spans="8:8" ht="15.75" customHeight="1">
      <c r="H420" s="16"/>
    </row>
    <row r="421" spans="8:8" ht="15.75" customHeight="1">
      <c r="H421" s="16"/>
    </row>
    <row r="422" spans="8:8" ht="15.75" customHeight="1">
      <c r="H422" s="16"/>
    </row>
    <row r="423" spans="8:8" ht="15.75" customHeight="1">
      <c r="H423" s="16"/>
    </row>
    <row r="424" spans="8:8" ht="15.75" customHeight="1">
      <c r="H424" s="16"/>
    </row>
    <row r="425" spans="8:8" ht="15.75" customHeight="1">
      <c r="H425" s="16"/>
    </row>
    <row r="426" spans="8:8" ht="15.75" customHeight="1">
      <c r="H426" s="16"/>
    </row>
    <row r="427" spans="8:8" ht="15.75" customHeight="1">
      <c r="H427" s="16"/>
    </row>
    <row r="428" spans="8:8" ht="15.75" customHeight="1">
      <c r="H428" s="16"/>
    </row>
    <row r="429" spans="8:8" ht="15.75" customHeight="1">
      <c r="H429" s="16"/>
    </row>
    <row r="430" spans="8:8" ht="15.75" customHeight="1">
      <c r="H430" s="16"/>
    </row>
    <row r="431" spans="8:8" ht="15.75" customHeight="1">
      <c r="H431" s="16"/>
    </row>
    <row r="432" spans="8:8" ht="15.75" customHeight="1">
      <c r="H432" s="16"/>
    </row>
    <row r="433" spans="8:8" ht="15.75" customHeight="1">
      <c r="H433" s="16"/>
    </row>
    <row r="434" spans="8:8" ht="15.75" customHeight="1">
      <c r="H434" s="16"/>
    </row>
    <row r="435" spans="8:8" ht="15.75" customHeight="1">
      <c r="H435" s="16"/>
    </row>
    <row r="436" spans="8:8" ht="15.75" customHeight="1">
      <c r="H436" s="16"/>
    </row>
    <row r="437" spans="8:8" ht="15.75" customHeight="1">
      <c r="H437" s="16"/>
    </row>
    <row r="438" spans="8:8" ht="15.75" customHeight="1">
      <c r="H438" s="16"/>
    </row>
    <row r="439" spans="8:8" ht="15.75" customHeight="1">
      <c r="H439" s="16"/>
    </row>
    <row r="440" spans="8:8" ht="15.75" customHeight="1">
      <c r="H440" s="16"/>
    </row>
    <row r="441" spans="8:8" ht="15.75" customHeight="1">
      <c r="H441" s="16"/>
    </row>
    <row r="442" spans="8:8" ht="15.75" customHeight="1">
      <c r="H442" s="16"/>
    </row>
    <row r="443" spans="8:8" ht="15.75" customHeight="1">
      <c r="H443" s="16"/>
    </row>
    <row r="444" spans="8:8" ht="15.75" customHeight="1">
      <c r="H444" s="16"/>
    </row>
    <row r="445" spans="8:8" ht="15.75" customHeight="1">
      <c r="H445" s="16"/>
    </row>
    <row r="446" spans="8:8" ht="15.75" customHeight="1">
      <c r="H446" s="16"/>
    </row>
    <row r="447" spans="8:8" ht="15.75" customHeight="1">
      <c r="H447" s="16"/>
    </row>
    <row r="448" spans="8:8" ht="15.75" customHeight="1">
      <c r="H448" s="16"/>
    </row>
    <row r="449" spans="8:8" ht="15.75" customHeight="1">
      <c r="H449" s="16"/>
    </row>
    <row r="450" spans="8:8" ht="15.75" customHeight="1">
      <c r="H450" s="16"/>
    </row>
    <row r="451" spans="8:8" ht="15.75" customHeight="1">
      <c r="H451" s="16"/>
    </row>
    <row r="452" spans="8:8" ht="15.75" customHeight="1">
      <c r="H452" s="16"/>
    </row>
    <row r="453" spans="8:8" ht="15.75" customHeight="1">
      <c r="H453" s="16"/>
    </row>
    <row r="454" spans="8:8" ht="15.75" customHeight="1">
      <c r="H454" s="16"/>
    </row>
    <row r="455" spans="8:8" ht="15.75" customHeight="1">
      <c r="H455" s="16"/>
    </row>
    <row r="456" spans="8:8" ht="15.75" customHeight="1">
      <c r="H456" s="16"/>
    </row>
    <row r="457" spans="8:8" ht="15.75" customHeight="1">
      <c r="H457" s="16"/>
    </row>
    <row r="458" spans="8:8" ht="15.75" customHeight="1">
      <c r="H458" s="16"/>
    </row>
    <row r="459" spans="8:8" ht="15.75" customHeight="1">
      <c r="H459" s="16"/>
    </row>
    <row r="460" spans="8:8" ht="15.75" customHeight="1">
      <c r="H460" s="16"/>
    </row>
    <row r="461" spans="8:8" ht="15.75" customHeight="1">
      <c r="H461" s="16"/>
    </row>
    <row r="462" spans="8:8" ht="15.75" customHeight="1">
      <c r="H462" s="16"/>
    </row>
    <row r="463" spans="8:8" ht="15.75" customHeight="1">
      <c r="H463" s="16"/>
    </row>
    <row r="464" spans="8:8" ht="15.75" customHeight="1">
      <c r="H464" s="16"/>
    </row>
    <row r="465" spans="8:8" ht="15.75" customHeight="1">
      <c r="H465" s="16"/>
    </row>
    <row r="466" spans="8:8" ht="15.75" customHeight="1">
      <c r="H466" s="16"/>
    </row>
    <row r="467" spans="8:8" ht="15.75" customHeight="1">
      <c r="H467" s="16"/>
    </row>
    <row r="468" spans="8:8" ht="15.75" customHeight="1">
      <c r="H468" s="16"/>
    </row>
    <row r="469" spans="8:8" ht="15.75" customHeight="1">
      <c r="H469" s="16"/>
    </row>
    <row r="470" spans="8:8" ht="15.75" customHeight="1">
      <c r="H470" s="16"/>
    </row>
    <row r="471" spans="8:8" ht="15.75" customHeight="1">
      <c r="H471" s="16"/>
    </row>
    <row r="472" spans="8:8" ht="15.75" customHeight="1">
      <c r="H472" s="16"/>
    </row>
    <row r="473" spans="8:8" ht="15.75" customHeight="1">
      <c r="H473" s="16"/>
    </row>
    <row r="474" spans="8:8" ht="15.75" customHeight="1">
      <c r="H474" s="16"/>
    </row>
    <row r="475" spans="8:8" ht="15.75" customHeight="1">
      <c r="H475" s="16"/>
    </row>
    <row r="476" spans="8:8" ht="15.75" customHeight="1">
      <c r="H476" s="16"/>
    </row>
    <row r="477" spans="8:8" ht="15.75" customHeight="1">
      <c r="H477" s="16"/>
    </row>
    <row r="478" spans="8:8" ht="15.75" customHeight="1">
      <c r="H478" s="16"/>
    </row>
    <row r="479" spans="8:8" ht="15.75" customHeight="1">
      <c r="H479" s="16"/>
    </row>
    <row r="480" spans="8:8" ht="15.75" customHeight="1">
      <c r="H480" s="16"/>
    </row>
    <row r="481" spans="8:8" ht="15.75" customHeight="1">
      <c r="H481" s="16"/>
    </row>
    <row r="482" spans="8:8" ht="15.75" customHeight="1">
      <c r="H482" s="16"/>
    </row>
    <row r="483" spans="8:8" ht="15.75" customHeight="1">
      <c r="H483" s="16"/>
    </row>
    <row r="484" spans="8:8" ht="15.75" customHeight="1">
      <c r="H484" s="16"/>
    </row>
    <row r="485" spans="8:8" ht="15.75" customHeight="1">
      <c r="H485" s="16"/>
    </row>
    <row r="486" spans="8:8" ht="15.75" customHeight="1">
      <c r="H486" s="16"/>
    </row>
    <row r="487" spans="8:8" ht="15.75" customHeight="1">
      <c r="H487" s="16"/>
    </row>
    <row r="488" spans="8:8" ht="15.75" customHeight="1">
      <c r="H488" s="16"/>
    </row>
    <row r="489" spans="8:8" ht="15.75" customHeight="1">
      <c r="H489" s="16"/>
    </row>
    <row r="490" spans="8:8" ht="15.75" customHeight="1">
      <c r="H490" s="16"/>
    </row>
    <row r="491" spans="8:8" ht="15.75" customHeight="1">
      <c r="H491" s="16"/>
    </row>
    <row r="492" spans="8:8" ht="15.75" customHeight="1">
      <c r="H492" s="16"/>
    </row>
    <row r="493" spans="8:8" ht="15.75" customHeight="1">
      <c r="H493" s="16"/>
    </row>
    <row r="494" spans="8:8" ht="15.75" customHeight="1">
      <c r="H494" s="16"/>
    </row>
    <row r="495" spans="8:8" ht="15.75" customHeight="1">
      <c r="H495" s="16"/>
    </row>
    <row r="496" spans="8:8" ht="15.75" customHeight="1">
      <c r="H496" s="16"/>
    </row>
    <row r="497" spans="8:8" ht="15.75" customHeight="1">
      <c r="H497" s="16"/>
    </row>
    <row r="498" spans="8:8" ht="15.75" customHeight="1">
      <c r="H498" s="16"/>
    </row>
    <row r="499" spans="8:8" ht="15.75" customHeight="1">
      <c r="H499" s="16"/>
    </row>
    <row r="500" spans="8:8" ht="15.75" customHeight="1">
      <c r="H500" s="16"/>
    </row>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9" xr:uid="{00000000-0009-0000-0000-000003000000}"/>
  <conditionalFormatting sqref="H2:H18">
    <cfRule type="expression" dxfId="11" priority="1">
      <formula>H2="DONE"</formula>
    </cfRule>
    <cfRule type="expression" dxfId="10" priority="2">
      <formula>H2="DOING"</formula>
    </cfRule>
    <cfRule type="expression" dxfId="9" priority="3">
      <formula>H2="BLOCKED"</formula>
    </cfRule>
    <cfRule type="expression" dxfId="8" priority="4">
      <formula>H2="PASS"</formula>
    </cfRule>
  </conditionalFormatting>
  <dataValidations count="1">
    <dataValidation type="list" allowBlank="1" sqref="H2:H18 H20:H500" xr:uid="{00000000-0002-0000-0300-000000000000}">
      <formula1>"TODO,DOING,DONE,BLOCKED"</formula1>
    </dataValidation>
  </dataValidations>
  <pageMargins left="0.25" right="0.25" top="0.45" bottom="0.45" header="0" footer="0"/>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2994A"/>
    <pageSetUpPr fitToPage="1"/>
  </sheetPr>
  <dimension ref="A1:E1000"/>
  <sheetViews>
    <sheetView showGridLines="0" workbookViewId="0">
      <pane ySplit="1" topLeftCell="A2" activePane="bottomLeft" state="frozen"/>
      <selection pane="bottomLeft" activeCell="B3" sqref="B3"/>
    </sheetView>
  </sheetViews>
  <sheetFormatPr defaultColWidth="14.44140625" defaultRowHeight="15" customHeight="1"/>
  <cols>
    <col min="1" max="1" width="38" customWidth="1"/>
    <col min="2" max="2" width="52" customWidth="1"/>
    <col min="3" max="3" width="38" customWidth="1"/>
    <col min="4" max="4" width="55" customWidth="1"/>
    <col min="5" max="5" width="18" customWidth="1"/>
    <col min="6" max="26" width="8.6640625" customWidth="1"/>
  </cols>
  <sheetData>
    <row r="1" spans="1:5" ht="37.5" customHeight="1">
      <c r="A1" s="28" t="s">
        <v>658</v>
      </c>
      <c r="B1" s="28" t="s">
        <v>659</v>
      </c>
      <c r="C1" s="28" t="s">
        <v>660</v>
      </c>
      <c r="D1" s="28" t="s">
        <v>661</v>
      </c>
      <c r="E1" s="28" t="s">
        <v>662</v>
      </c>
    </row>
    <row r="2" spans="1:5" ht="14.4" customHeight="1">
      <c r="A2" s="10" t="s">
        <v>663</v>
      </c>
      <c r="B2" s="10" t="s">
        <v>664</v>
      </c>
      <c r="C2" s="10" t="s">
        <v>665</v>
      </c>
      <c r="D2" s="10" t="s">
        <v>666</v>
      </c>
      <c r="E2" s="7" t="s">
        <v>34</v>
      </c>
    </row>
    <row r="3" spans="1:5" ht="27.6" customHeight="1">
      <c r="A3" s="10" t="s">
        <v>667</v>
      </c>
      <c r="B3" s="10" t="s">
        <v>668</v>
      </c>
      <c r="C3" s="10" t="s">
        <v>669</v>
      </c>
      <c r="D3" s="10" t="s">
        <v>670</v>
      </c>
      <c r="E3" s="7" t="s">
        <v>34</v>
      </c>
    </row>
    <row r="4" spans="1:5" ht="14.4" customHeight="1">
      <c r="A4" s="10" t="s">
        <v>671</v>
      </c>
      <c r="B4" s="10" t="s">
        <v>672</v>
      </c>
      <c r="C4" s="10" t="s">
        <v>673</v>
      </c>
      <c r="D4" s="10" t="s">
        <v>674</v>
      </c>
      <c r="E4" s="7" t="s">
        <v>34</v>
      </c>
    </row>
    <row r="5" spans="1:5" ht="27.6" customHeight="1">
      <c r="A5" s="10" t="s">
        <v>675</v>
      </c>
      <c r="B5" s="10" t="s">
        <v>676</v>
      </c>
      <c r="C5" s="10" t="s">
        <v>677</v>
      </c>
      <c r="D5" s="10" t="s">
        <v>678</v>
      </c>
      <c r="E5" s="7" t="s">
        <v>34</v>
      </c>
    </row>
    <row r="6" spans="1:5" ht="14.4" customHeight="1">
      <c r="A6" s="10" t="s">
        <v>679</v>
      </c>
      <c r="B6" s="10" t="s">
        <v>680</v>
      </c>
      <c r="C6" s="10" t="s">
        <v>426</v>
      </c>
      <c r="D6" s="10" t="s">
        <v>681</v>
      </c>
      <c r="E6" s="7" t="s">
        <v>34</v>
      </c>
    </row>
    <row r="7" spans="1:5" ht="14.4" customHeight="1">
      <c r="A7" s="10" t="s">
        <v>682</v>
      </c>
      <c r="B7" s="10" t="s">
        <v>683</v>
      </c>
      <c r="C7" s="10" t="s">
        <v>684</v>
      </c>
      <c r="D7" s="10" t="s">
        <v>685</v>
      </c>
      <c r="E7" s="7" t="s">
        <v>34</v>
      </c>
    </row>
    <row r="8" spans="1:5" ht="14.4" customHeight="1">
      <c r="A8" s="10" t="s">
        <v>686</v>
      </c>
      <c r="B8" s="10" t="s">
        <v>687</v>
      </c>
      <c r="C8" s="10" t="s">
        <v>684</v>
      </c>
      <c r="D8" s="10" t="s">
        <v>688</v>
      </c>
      <c r="E8" s="7" t="s">
        <v>34</v>
      </c>
    </row>
    <row r="9" spans="1:5" ht="14.4" customHeight="1">
      <c r="A9" s="10" t="s">
        <v>689</v>
      </c>
      <c r="B9" s="10" t="s">
        <v>690</v>
      </c>
      <c r="C9" s="10" t="s">
        <v>691</v>
      </c>
      <c r="D9" s="10" t="s">
        <v>692</v>
      </c>
      <c r="E9" s="7" t="s">
        <v>34</v>
      </c>
    </row>
    <row r="10" spans="1:5" ht="27.6" customHeight="1">
      <c r="A10" s="10" t="s">
        <v>693</v>
      </c>
      <c r="B10" s="10" t="s">
        <v>694</v>
      </c>
      <c r="C10" s="10" t="s">
        <v>695</v>
      </c>
      <c r="D10" s="10" t="s">
        <v>696</v>
      </c>
      <c r="E10" s="7" t="s">
        <v>34</v>
      </c>
    </row>
    <row r="11" spans="1:5" ht="14.4" customHeight="1">
      <c r="A11" s="10" t="s">
        <v>697</v>
      </c>
      <c r="B11" s="10" t="s">
        <v>698</v>
      </c>
      <c r="C11" s="10" t="s">
        <v>699</v>
      </c>
      <c r="D11" s="10" t="s">
        <v>700</v>
      </c>
      <c r="E11" s="7" t="s">
        <v>34</v>
      </c>
    </row>
    <row r="12" spans="1:5" ht="27.6" customHeight="1">
      <c r="A12" s="10" t="s">
        <v>701</v>
      </c>
      <c r="B12" s="10" t="s">
        <v>702</v>
      </c>
      <c r="C12" s="10" t="s">
        <v>703</v>
      </c>
      <c r="D12" s="10" t="s">
        <v>704</v>
      </c>
      <c r="E12" s="7" t="s">
        <v>34</v>
      </c>
    </row>
    <row r="13" spans="1:5" ht="27.6" customHeight="1">
      <c r="A13" s="10" t="s">
        <v>705</v>
      </c>
      <c r="B13" s="10" t="s">
        <v>706</v>
      </c>
      <c r="C13" s="10" t="s">
        <v>707</v>
      </c>
      <c r="D13" s="10" t="s">
        <v>708</v>
      </c>
      <c r="E13" s="7" t="s">
        <v>34</v>
      </c>
    </row>
    <row r="14" spans="1:5" ht="27.6" customHeight="1">
      <c r="A14" s="10" t="s">
        <v>709</v>
      </c>
      <c r="B14" s="10" t="s">
        <v>710</v>
      </c>
      <c r="C14" s="10" t="s">
        <v>711</v>
      </c>
      <c r="D14" s="10" t="s">
        <v>712</v>
      </c>
      <c r="E14" s="7" t="s">
        <v>34</v>
      </c>
    </row>
    <row r="15" spans="1:5" ht="27.6" customHeight="1">
      <c r="A15" s="10" t="s">
        <v>713</v>
      </c>
      <c r="B15" s="10" t="s">
        <v>714</v>
      </c>
      <c r="C15" s="10" t="s">
        <v>715</v>
      </c>
      <c r="D15" s="10" t="s">
        <v>716</v>
      </c>
      <c r="E15" s="7" t="s">
        <v>34</v>
      </c>
    </row>
    <row r="16" spans="1:5" ht="14.4" customHeight="1">
      <c r="A16" s="10" t="s">
        <v>717</v>
      </c>
      <c r="B16" s="10" t="s">
        <v>718</v>
      </c>
      <c r="C16" s="10" t="s">
        <v>719</v>
      </c>
      <c r="D16" s="10" t="s">
        <v>720</v>
      </c>
      <c r="E16" s="7" t="s">
        <v>34</v>
      </c>
    </row>
    <row r="17" spans="1:5" ht="27.6" customHeight="1">
      <c r="A17" s="10" t="s">
        <v>721</v>
      </c>
      <c r="B17" s="10" t="s">
        <v>722</v>
      </c>
      <c r="C17" s="10" t="s">
        <v>723</v>
      </c>
      <c r="D17" s="10" t="s">
        <v>724</v>
      </c>
      <c r="E17" s="7" t="s">
        <v>34</v>
      </c>
    </row>
    <row r="18" spans="1:5" ht="14.4" customHeight="1">
      <c r="E18" s="16"/>
    </row>
    <row r="19" spans="1:5" ht="14.4" customHeight="1">
      <c r="E19" s="16"/>
    </row>
    <row r="20" spans="1:5" ht="14.4" customHeight="1">
      <c r="E20" s="16"/>
    </row>
    <row r="21" spans="1:5" ht="15.75" customHeight="1">
      <c r="E21" s="16"/>
    </row>
    <row r="22" spans="1:5" ht="15.75" customHeight="1">
      <c r="E22" s="16"/>
    </row>
    <row r="23" spans="1:5" ht="15.75" customHeight="1">
      <c r="E23" s="16"/>
    </row>
    <row r="24" spans="1:5" ht="15.75" customHeight="1">
      <c r="E24" s="16"/>
    </row>
    <row r="25" spans="1:5" ht="15.75" customHeight="1">
      <c r="E25" s="16"/>
    </row>
    <row r="26" spans="1:5" ht="15.75" customHeight="1">
      <c r="E26" s="16"/>
    </row>
    <row r="27" spans="1:5" ht="15.75" customHeight="1">
      <c r="E27" s="16"/>
    </row>
    <row r="28" spans="1:5" ht="15.75" customHeight="1">
      <c r="E28" s="16"/>
    </row>
    <row r="29" spans="1:5" ht="15.75" customHeight="1">
      <c r="E29" s="16"/>
    </row>
    <row r="30" spans="1:5" ht="15.75" customHeight="1">
      <c r="E30" s="16"/>
    </row>
    <row r="31" spans="1:5" ht="15.75" customHeight="1">
      <c r="E31" s="16"/>
    </row>
    <row r="32" spans="1:5" ht="15.75" customHeight="1">
      <c r="E32" s="16"/>
    </row>
    <row r="33" spans="5:5" ht="15.75" customHeight="1">
      <c r="E33" s="16"/>
    </row>
    <row r="34" spans="5:5" ht="15.75" customHeight="1">
      <c r="E34" s="16"/>
    </row>
    <row r="35" spans="5:5" ht="15.75" customHeight="1">
      <c r="E35" s="16"/>
    </row>
    <row r="36" spans="5:5" ht="15.75" customHeight="1">
      <c r="E36" s="16"/>
    </row>
    <row r="37" spans="5:5" ht="15.75" customHeight="1">
      <c r="E37" s="16"/>
    </row>
    <row r="38" spans="5:5" ht="15.75" customHeight="1">
      <c r="E38" s="16"/>
    </row>
    <row r="39" spans="5:5" ht="15.75" customHeight="1">
      <c r="E39" s="16"/>
    </row>
    <row r="40" spans="5:5" ht="15.75" customHeight="1">
      <c r="E40" s="16"/>
    </row>
    <row r="41" spans="5:5" ht="15.75" customHeight="1">
      <c r="E41" s="16"/>
    </row>
    <row r="42" spans="5:5" ht="15.75" customHeight="1">
      <c r="E42" s="16"/>
    </row>
    <row r="43" spans="5:5" ht="15.75" customHeight="1">
      <c r="E43" s="16"/>
    </row>
    <row r="44" spans="5:5" ht="15.75" customHeight="1">
      <c r="E44" s="16"/>
    </row>
    <row r="45" spans="5:5" ht="15.75" customHeight="1">
      <c r="E45" s="16"/>
    </row>
    <row r="46" spans="5:5" ht="15.75" customHeight="1">
      <c r="E46" s="16"/>
    </row>
    <row r="47" spans="5:5" ht="15.75" customHeight="1">
      <c r="E47" s="16"/>
    </row>
    <row r="48" spans="5:5" ht="15.75" customHeight="1">
      <c r="E48" s="16"/>
    </row>
    <row r="49" spans="5:5" ht="15.75" customHeight="1">
      <c r="E49" s="16"/>
    </row>
    <row r="50" spans="5:5" ht="15.75" customHeight="1">
      <c r="E50" s="16"/>
    </row>
    <row r="51" spans="5:5" ht="15.75" customHeight="1">
      <c r="E51" s="16"/>
    </row>
    <row r="52" spans="5:5" ht="15.75" customHeight="1">
      <c r="E52" s="16"/>
    </row>
    <row r="53" spans="5:5" ht="15.75" customHeight="1">
      <c r="E53" s="16"/>
    </row>
    <row r="54" spans="5:5" ht="15.75" customHeight="1">
      <c r="E54" s="16"/>
    </row>
    <row r="55" spans="5:5" ht="15.75" customHeight="1">
      <c r="E55" s="16"/>
    </row>
    <row r="56" spans="5:5" ht="15.75" customHeight="1">
      <c r="E56" s="16"/>
    </row>
    <row r="57" spans="5:5" ht="15.75" customHeight="1">
      <c r="E57" s="16"/>
    </row>
    <row r="58" spans="5:5" ht="15.75" customHeight="1">
      <c r="E58" s="16"/>
    </row>
    <row r="59" spans="5:5" ht="15.75" customHeight="1">
      <c r="E59" s="16"/>
    </row>
    <row r="60" spans="5:5" ht="15.75" customHeight="1">
      <c r="E60" s="16"/>
    </row>
    <row r="61" spans="5:5" ht="15.75" customHeight="1">
      <c r="E61" s="16"/>
    </row>
    <row r="62" spans="5:5" ht="15.75" customHeight="1">
      <c r="E62" s="16"/>
    </row>
    <row r="63" spans="5:5" ht="15.75" customHeight="1">
      <c r="E63" s="16"/>
    </row>
    <row r="64" spans="5:5" ht="15.75" customHeight="1">
      <c r="E64" s="16"/>
    </row>
    <row r="65" spans="5:5" ht="15.75" customHeight="1">
      <c r="E65" s="16"/>
    </row>
    <row r="66" spans="5:5" ht="15.75" customHeight="1">
      <c r="E66" s="16"/>
    </row>
    <row r="67" spans="5:5" ht="15.75" customHeight="1">
      <c r="E67" s="16"/>
    </row>
    <row r="68" spans="5:5" ht="15.75" customHeight="1">
      <c r="E68" s="16"/>
    </row>
    <row r="69" spans="5:5" ht="15.75" customHeight="1">
      <c r="E69" s="16"/>
    </row>
    <row r="70" spans="5:5" ht="15.75" customHeight="1">
      <c r="E70" s="16"/>
    </row>
    <row r="71" spans="5:5" ht="15.75" customHeight="1">
      <c r="E71" s="16"/>
    </row>
    <row r="72" spans="5:5" ht="15.75" customHeight="1">
      <c r="E72" s="16"/>
    </row>
    <row r="73" spans="5:5" ht="15.75" customHeight="1">
      <c r="E73" s="16"/>
    </row>
    <row r="74" spans="5:5" ht="15.75" customHeight="1">
      <c r="E74" s="16"/>
    </row>
    <row r="75" spans="5:5" ht="15.75" customHeight="1">
      <c r="E75" s="16"/>
    </row>
    <row r="76" spans="5:5" ht="15.75" customHeight="1">
      <c r="E76" s="16"/>
    </row>
    <row r="77" spans="5:5" ht="15.75" customHeight="1">
      <c r="E77" s="16"/>
    </row>
    <row r="78" spans="5:5" ht="15.75" customHeight="1">
      <c r="E78" s="16"/>
    </row>
    <row r="79" spans="5:5" ht="15.75" customHeight="1">
      <c r="E79" s="16"/>
    </row>
    <row r="80" spans="5:5" ht="15.75" customHeight="1">
      <c r="E80" s="16"/>
    </row>
    <row r="81" spans="5:5" ht="15.75" customHeight="1">
      <c r="E81" s="16"/>
    </row>
    <row r="82" spans="5:5" ht="15.75" customHeight="1">
      <c r="E82" s="16"/>
    </row>
    <row r="83" spans="5:5" ht="15.75" customHeight="1">
      <c r="E83" s="16"/>
    </row>
    <row r="84" spans="5:5" ht="15.75" customHeight="1">
      <c r="E84" s="16"/>
    </row>
    <row r="85" spans="5:5" ht="15.75" customHeight="1">
      <c r="E85" s="16"/>
    </row>
    <row r="86" spans="5:5" ht="15.75" customHeight="1">
      <c r="E86" s="16"/>
    </row>
    <row r="87" spans="5:5" ht="15.75" customHeight="1">
      <c r="E87" s="16"/>
    </row>
    <row r="88" spans="5:5" ht="15.75" customHeight="1">
      <c r="E88" s="16"/>
    </row>
    <row r="89" spans="5:5" ht="15.75" customHeight="1">
      <c r="E89" s="16"/>
    </row>
    <row r="90" spans="5:5" ht="15.75" customHeight="1">
      <c r="E90" s="16"/>
    </row>
    <row r="91" spans="5:5" ht="15.75" customHeight="1">
      <c r="E91" s="16"/>
    </row>
    <row r="92" spans="5:5" ht="15.75" customHeight="1">
      <c r="E92" s="16"/>
    </row>
    <row r="93" spans="5:5" ht="15.75" customHeight="1">
      <c r="E93" s="16"/>
    </row>
    <row r="94" spans="5:5" ht="15.75" customHeight="1">
      <c r="E94" s="16"/>
    </row>
    <row r="95" spans="5:5" ht="15.75" customHeight="1">
      <c r="E95" s="16"/>
    </row>
    <row r="96" spans="5:5" ht="15.75" customHeight="1">
      <c r="E96" s="16"/>
    </row>
    <row r="97" spans="5:5" ht="15.75" customHeight="1">
      <c r="E97" s="16"/>
    </row>
    <row r="98" spans="5:5" ht="15.75" customHeight="1">
      <c r="E98" s="16"/>
    </row>
    <row r="99" spans="5:5" ht="15.75" customHeight="1">
      <c r="E99" s="16"/>
    </row>
    <row r="100" spans="5:5" ht="15.75" customHeight="1">
      <c r="E100" s="16"/>
    </row>
    <row r="101" spans="5:5" ht="15.75" customHeight="1">
      <c r="E101" s="16"/>
    </row>
    <row r="102" spans="5:5" ht="15.75" customHeight="1">
      <c r="E102" s="16"/>
    </row>
    <row r="103" spans="5:5" ht="15.75" customHeight="1">
      <c r="E103" s="16"/>
    </row>
    <row r="104" spans="5:5" ht="15.75" customHeight="1">
      <c r="E104" s="16"/>
    </row>
    <row r="105" spans="5:5" ht="15.75" customHeight="1">
      <c r="E105" s="16"/>
    </row>
    <row r="106" spans="5:5" ht="15.75" customHeight="1">
      <c r="E106" s="16"/>
    </row>
    <row r="107" spans="5:5" ht="15.75" customHeight="1">
      <c r="E107" s="16"/>
    </row>
    <row r="108" spans="5:5" ht="15.75" customHeight="1">
      <c r="E108" s="16"/>
    </row>
    <row r="109" spans="5:5" ht="15.75" customHeight="1">
      <c r="E109" s="16"/>
    </row>
    <row r="110" spans="5:5" ht="15.75" customHeight="1">
      <c r="E110" s="16"/>
    </row>
    <row r="111" spans="5:5" ht="15.75" customHeight="1">
      <c r="E111" s="16"/>
    </row>
    <row r="112" spans="5:5" ht="15.75" customHeight="1">
      <c r="E112" s="16"/>
    </row>
    <row r="113" spans="5:5" ht="15.75" customHeight="1">
      <c r="E113" s="16"/>
    </row>
    <row r="114" spans="5:5" ht="15.75" customHeight="1">
      <c r="E114" s="16"/>
    </row>
    <row r="115" spans="5:5" ht="15.75" customHeight="1">
      <c r="E115" s="16"/>
    </row>
    <row r="116" spans="5:5" ht="15.75" customHeight="1">
      <c r="E116" s="16"/>
    </row>
    <row r="117" spans="5:5" ht="15.75" customHeight="1">
      <c r="E117" s="16"/>
    </row>
    <row r="118" spans="5:5" ht="15.75" customHeight="1">
      <c r="E118" s="16"/>
    </row>
    <row r="119" spans="5:5" ht="15.75" customHeight="1">
      <c r="E119" s="16"/>
    </row>
    <row r="120" spans="5:5" ht="15.75" customHeight="1">
      <c r="E120" s="16"/>
    </row>
    <row r="121" spans="5:5" ht="15.75" customHeight="1">
      <c r="E121" s="16"/>
    </row>
    <row r="122" spans="5:5" ht="15.75" customHeight="1">
      <c r="E122" s="16"/>
    </row>
    <row r="123" spans="5:5" ht="15.75" customHeight="1">
      <c r="E123" s="16"/>
    </row>
    <row r="124" spans="5:5" ht="15.75" customHeight="1">
      <c r="E124" s="16"/>
    </row>
    <row r="125" spans="5:5" ht="15.75" customHeight="1">
      <c r="E125" s="16"/>
    </row>
    <row r="126" spans="5:5" ht="15.75" customHeight="1">
      <c r="E126" s="16"/>
    </row>
    <row r="127" spans="5:5" ht="15.75" customHeight="1">
      <c r="E127" s="16"/>
    </row>
    <row r="128" spans="5:5" ht="15.75" customHeight="1">
      <c r="E128" s="16"/>
    </row>
    <row r="129" spans="5:5" ht="15.75" customHeight="1">
      <c r="E129" s="16"/>
    </row>
    <row r="130" spans="5:5" ht="15.75" customHeight="1">
      <c r="E130" s="16"/>
    </row>
    <row r="131" spans="5:5" ht="15.75" customHeight="1">
      <c r="E131" s="16"/>
    </row>
    <row r="132" spans="5:5" ht="15.75" customHeight="1">
      <c r="E132" s="16"/>
    </row>
    <row r="133" spans="5:5" ht="15.75" customHeight="1">
      <c r="E133" s="16"/>
    </row>
    <row r="134" spans="5:5" ht="15.75" customHeight="1">
      <c r="E134" s="16"/>
    </row>
    <row r="135" spans="5:5" ht="15.75" customHeight="1">
      <c r="E135" s="16"/>
    </row>
    <row r="136" spans="5:5" ht="15.75" customHeight="1">
      <c r="E136" s="16"/>
    </row>
    <row r="137" spans="5:5" ht="15.75" customHeight="1">
      <c r="E137" s="16"/>
    </row>
    <row r="138" spans="5:5" ht="15.75" customHeight="1">
      <c r="E138" s="16"/>
    </row>
    <row r="139" spans="5:5" ht="15.75" customHeight="1">
      <c r="E139" s="16"/>
    </row>
    <row r="140" spans="5:5" ht="15.75" customHeight="1">
      <c r="E140" s="16"/>
    </row>
    <row r="141" spans="5:5" ht="15.75" customHeight="1">
      <c r="E141" s="16"/>
    </row>
    <row r="142" spans="5:5" ht="15.75" customHeight="1">
      <c r="E142" s="16"/>
    </row>
    <row r="143" spans="5:5" ht="15.75" customHeight="1">
      <c r="E143" s="16"/>
    </row>
    <row r="144" spans="5:5" ht="15.75" customHeight="1">
      <c r="E144" s="16"/>
    </row>
    <row r="145" spans="5:5" ht="15.75" customHeight="1">
      <c r="E145" s="16"/>
    </row>
    <row r="146" spans="5:5" ht="15.75" customHeight="1">
      <c r="E146" s="16"/>
    </row>
    <row r="147" spans="5:5" ht="15.75" customHeight="1">
      <c r="E147" s="16"/>
    </row>
    <row r="148" spans="5:5" ht="15.75" customHeight="1">
      <c r="E148" s="16"/>
    </row>
    <row r="149" spans="5:5" ht="15.75" customHeight="1">
      <c r="E149" s="16"/>
    </row>
    <row r="150" spans="5:5" ht="15.75" customHeight="1">
      <c r="E150" s="16"/>
    </row>
    <row r="151" spans="5:5" ht="15.75" customHeight="1">
      <c r="E151" s="16"/>
    </row>
    <row r="152" spans="5:5" ht="15.75" customHeight="1">
      <c r="E152" s="16"/>
    </row>
    <row r="153" spans="5:5" ht="15.75" customHeight="1">
      <c r="E153" s="16"/>
    </row>
    <row r="154" spans="5:5" ht="15.75" customHeight="1">
      <c r="E154" s="16"/>
    </row>
    <row r="155" spans="5:5" ht="15.75" customHeight="1">
      <c r="E155" s="16"/>
    </row>
    <row r="156" spans="5:5" ht="15.75" customHeight="1">
      <c r="E156" s="16"/>
    </row>
    <row r="157" spans="5:5" ht="15.75" customHeight="1">
      <c r="E157" s="16"/>
    </row>
    <row r="158" spans="5:5" ht="15.75" customHeight="1">
      <c r="E158" s="16"/>
    </row>
    <row r="159" spans="5:5" ht="15.75" customHeight="1">
      <c r="E159" s="16"/>
    </row>
    <row r="160" spans="5:5" ht="15.75" customHeight="1">
      <c r="E160" s="16"/>
    </row>
    <row r="161" spans="5:5" ht="15.75" customHeight="1">
      <c r="E161" s="16"/>
    </row>
    <row r="162" spans="5:5" ht="15.75" customHeight="1">
      <c r="E162" s="16"/>
    </row>
    <row r="163" spans="5:5" ht="15.75" customHeight="1">
      <c r="E163" s="16"/>
    </row>
    <row r="164" spans="5:5" ht="15.75" customHeight="1">
      <c r="E164" s="16"/>
    </row>
    <row r="165" spans="5:5" ht="15.75" customHeight="1">
      <c r="E165" s="16"/>
    </row>
    <row r="166" spans="5:5" ht="15.75" customHeight="1">
      <c r="E166" s="16"/>
    </row>
    <row r="167" spans="5:5" ht="15.75" customHeight="1">
      <c r="E167" s="16"/>
    </row>
    <row r="168" spans="5:5" ht="15.75" customHeight="1">
      <c r="E168" s="16"/>
    </row>
    <row r="169" spans="5:5" ht="15.75" customHeight="1">
      <c r="E169" s="16"/>
    </row>
    <row r="170" spans="5:5" ht="15.75" customHeight="1">
      <c r="E170" s="16"/>
    </row>
    <row r="171" spans="5:5" ht="15.75" customHeight="1">
      <c r="E171" s="16"/>
    </row>
    <row r="172" spans="5:5" ht="15.75" customHeight="1">
      <c r="E172" s="16"/>
    </row>
    <row r="173" spans="5:5" ht="15.75" customHeight="1">
      <c r="E173" s="16"/>
    </row>
    <row r="174" spans="5:5" ht="15.75" customHeight="1">
      <c r="E174" s="16"/>
    </row>
    <row r="175" spans="5:5" ht="15.75" customHeight="1">
      <c r="E175" s="16"/>
    </row>
    <row r="176" spans="5:5" ht="15.75" customHeight="1">
      <c r="E176" s="16"/>
    </row>
    <row r="177" spans="5:5" ht="15.75" customHeight="1">
      <c r="E177" s="16"/>
    </row>
    <row r="178" spans="5:5" ht="15.75" customHeight="1">
      <c r="E178" s="16"/>
    </row>
    <row r="179" spans="5:5" ht="15.75" customHeight="1">
      <c r="E179" s="16"/>
    </row>
    <row r="180" spans="5:5" ht="15.75" customHeight="1">
      <c r="E180" s="16"/>
    </row>
    <row r="181" spans="5:5" ht="15.75" customHeight="1">
      <c r="E181" s="16"/>
    </row>
    <row r="182" spans="5:5" ht="15.75" customHeight="1">
      <c r="E182" s="16"/>
    </row>
    <row r="183" spans="5:5" ht="15.75" customHeight="1">
      <c r="E183" s="16"/>
    </row>
    <row r="184" spans="5:5" ht="15.75" customHeight="1">
      <c r="E184" s="16"/>
    </row>
    <row r="185" spans="5:5" ht="15.75" customHeight="1">
      <c r="E185" s="16"/>
    </row>
    <row r="186" spans="5:5" ht="15.75" customHeight="1">
      <c r="E186" s="16"/>
    </row>
    <row r="187" spans="5:5" ht="15.75" customHeight="1">
      <c r="E187" s="16"/>
    </row>
    <row r="188" spans="5:5" ht="15.75" customHeight="1">
      <c r="E188" s="16"/>
    </row>
    <row r="189" spans="5:5" ht="15.75" customHeight="1">
      <c r="E189" s="16"/>
    </row>
    <row r="190" spans="5:5" ht="15.75" customHeight="1">
      <c r="E190" s="16"/>
    </row>
    <row r="191" spans="5:5" ht="15.75" customHeight="1">
      <c r="E191" s="16"/>
    </row>
    <row r="192" spans="5:5" ht="15.75" customHeight="1">
      <c r="E192" s="16"/>
    </row>
    <row r="193" spans="5:5" ht="15.75" customHeight="1">
      <c r="E193" s="16"/>
    </row>
    <row r="194" spans="5:5" ht="15.75" customHeight="1">
      <c r="E194" s="16"/>
    </row>
    <row r="195" spans="5:5" ht="15.75" customHeight="1">
      <c r="E195" s="16"/>
    </row>
    <row r="196" spans="5:5" ht="15.75" customHeight="1">
      <c r="E196" s="16"/>
    </row>
    <row r="197" spans="5:5" ht="15.75" customHeight="1">
      <c r="E197" s="16"/>
    </row>
    <row r="198" spans="5:5" ht="15.75" customHeight="1">
      <c r="E198" s="16"/>
    </row>
    <row r="199" spans="5:5" ht="15.75" customHeight="1">
      <c r="E199" s="16"/>
    </row>
    <row r="200" spans="5:5" ht="15.75" customHeight="1">
      <c r="E200" s="16"/>
    </row>
    <row r="201" spans="5:5" ht="15.75" customHeight="1">
      <c r="E201" s="16"/>
    </row>
    <row r="202" spans="5:5" ht="15.75" customHeight="1">
      <c r="E202" s="16"/>
    </row>
    <row r="203" spans="5:5" ht="15.75" customHeight="1">
      <c r="E203" s="16"/>
    </row>
    <row r="204" spans="5:5" ht="15.75" customHeight="1">
      <c r="E204" s="16"/>
    </row>
    <row r="205" spans="5:5" ht="15.75" customHeight="1">
      <c r="E205" s="16"/>
    </row>
    <row r="206" spans="5:5" ht="15.75" customHeight="1">
      <c r="E206" s="16"/>
    </row>
    <row r="207" spans="5:5" ht="15.75" customHeight="1">
      <c r="E207" s="16"/>
    </row>
    <row r="208" spans="5:5" ht="15.75" customHeight="1">
      <c r="E208" s="16"/>
    </row>
    <row r="209" spans="5:5" ht="15.75" customHeight="1">
      <c r="E209" s="16"/>
    </row>
    <row r="210" spans="5:5" ht="15.75" customHeight="1">
      <c r="E210" s="16"/>
    </row>
    <row r="211" spans="5:5" ht="15.75" customHeight="1">
      <c r="E211" s="16"/>
    </row>
    <row r="212" spans="5:5" ht="15.75" customHeight="1">
      <c r="E212" s="16"/>
    </row>
    <row r="213" spans="5:5" ht="15.75" customHeight="1">
      <c r="E213" s="16"/>
    </row>
    <row r="214" spans="5:5" ht="15.75" customHeight="1">
      <c r="E214" s="16"/>
    </row>
    <row r="215" spans="5:5" ht="15.75" customHeight="1">
      <c r="E215" s="16"/>
    </row>
    <row r="216" spans="5:5" ht="15.75" customHeight="1">
      <c r="E216" s="16"/>
    </row>
    <row r="217" spans="5:5" ht="15.75" customHeight="1">
      <c r="E217" s="16"/>
    </row>
    <row r="218" spans="5:5" ht="15.75" customHeight="1">
      <c r="E218" s="16"/>
    </row>
    <row r="219" spans="5:5" ht="15.75" customHeight="1">
      <c r="E219" s="16"/>
    </row>
    <row r="220" spans="5:5" ht="15.75" customHeight="1">
      <c r="E220" s="16"/>
    </row>
    <row r="221" spans="5:5" ht="15.75" customHeight="1">
      <c r="E221" s="16"/>
    </row>
    <row r="222" spans="5:5" ht="15.75" customHeight="1">
      <c r="E222" s="16"/>
    </row>
    <row r="223" spans="5:5" ht="15.75" customHeight="1">
      <c r="E223" s="16"/>
    </row>
    <row r="224" spans="5:5" ht="15.75" customHeight="1">
      <c r="E224" s="16"/>
    </row>
    <row r="225" spans="5:5" ht="15.75" customHeight="1">
      <c r="E225" s="16"/>
    </row>
    <row r="226" spans="5:5" ht="15.75" customHeight="1">
      <c r="E226" s="16"/>
    </row>
    <row r="227" spans="5:5" ht="15.75" customHeight="1">
      <c r="E227" s="16"/>
    </row>
    <row r="228" spans="5:5" ht="15.75" customHeight="1">
      <c r="E228" s="16"/>
    </row>
    <row r="229" spans="5:5" ht="15.75" customHeight="1">
      <c r="E229" s="16"/>
    </row>
    <row r="230" spans="5:5" ht="15.75" customHeight="1">
      <c r="E230" s="16"/>
    </row>
    <row r="231" spans="5:5" ht="15.75" customHeight="1">
      <c r="E231" s="16"/>
    </row>
    <row r="232" spans="5:5" ht="15.75" customHeight="1">
      <c r="E232" s="16"/>
    </row>
    <row r="233" spans="5:5" ht="15.75" customHeight="1">
      <c r="E233" s="16"/>
    </row>
    <row r="234" spans="5:5" ht="15.75" customHeight="1">
      <c r="E234" s="16"/>
    </row>
    <row r="235" spans="5:5" ht="15.75" customHeight="1">
      <c r="E235" s="16"/>
    </row>
    <row r="236" spans="5:5" ht="15.75" customHeight="1">
      <c r="E236" s="16"/>
    </row>
    <row r="237" spans="5:5" ht="15.75" customHeight="1">
      <c r="E237" s="16"/>
    </row>
    <row r="238" spans="5:5" ht="15.75" customHeight="1">
      <c r="E238" s="16"/>
    </row>
    <row r="239" spans="5:5" ht="15.75" customHeight="1">
      <c r="E239" s="16"/>
    </row>
    <row r="240" spans="5:5" ht="15.75" customHeight="1">
      <c r="E240" s="16"/>
    </row>
    <row r="241" spans="5:5" ht="15.75" customHeight="1">
      <c r="E241" s="16"/>
    </row>
    <row r="242" spans="5:5" ht="15.75" customHeight="1">
      <c r="E242" s="16"/>
    </row>
    <row r="243" spans="5:5" ht="15.75" customHeight="1">
      <c r="E243" s="16"/>
    </row>
    <row r="244" spans="5:5" ht="15.75" customHeight="1">
      <c r="E244" s="16"/>
    </row>
    <row r="245" spans="5:5" ht="15.75" customHeight="1">
      <c r="E245" s="16"/>
    </row>
    <row r="246" spans="5:5" ht="15.75" customHeight="1">
      <c r="E246" s="16"/>
    </row>
    <row r="247" spans="5:5" ht="15.75" customHeight="1">
      <c r="E247" s="16"/>
    </row>
    <row r="248" spans="5:5" ht="15.75" customHeight="1">
      <c r="E248" s="16"/>
    </row>
    <row r="249" spans="5:5" ht="15.75" customHeight="1">
      <c r="E249" s="16"/>
    </row>
    <row r="250" spans="5:5" ht="15.75" customHeight="1">
      <c r="E250" s="16"/>
    </row>
    <row r="251" spans="5:5" ht="15.75" customHeight="1">
      <c r="E251" s="16"/>
    </row>
    <row r="252" spans="5:5" ht="15.75" customHeight="1">
      <c r="E252" s="16"/>
    </row>
    <row r="253" spans="5:5" ht="15.75" customHeight="1">
      <c r="E253" s="16"/>
    </row>
    <row r="254" spans="5:5" ht="15.75" customHeight="1">
      <c r="E254" s="16"/>
    </row>
    <row r="255" spans="5:5" ht="15.75" customHeight="1">
      <c r="E255" s="16"/>
    </row>
    <row r="256" spans="5:5" ht="15.75" customHeight="1">
      <c r="E256" s="16"/>
    </row>
    <row r="257" spans="5:5" ht="15.75" customHeight="1">
      <c r="E257" s="16"/>
    </row>
    <row r="258" spans="5:5" ht="15.75" customHeight="1">
      <c r="E258" s="16"/>
    </row>
    <row r="259" spans="5:5" ht="15.75" customHeight="1">
      <c r="E259" s="16"/>
    </row>
    <row r="260" spans="5:5" ht="15.75" customHeight="1">
      <c r="E260" s="16"/>
    </row>
    <row r="261" spans="5:5" ht="15.75" customHeight="1">
      <c r="E261" s="16"/>
    </row>
    <row r="262" spans="5:5" ht="15.75" customHeight="1">
      <c r="E262" s="16"/>
    </row>
    <row r="263" spans="5:5" ht="15.75" customHeight="1">
      <c r="E263" s="16"/>
    </row>
    <row r="264" spans="5:5" ht="15.75" customHeight="1">
      <c r="E264" s="16"/>
    </row>
    <row r="265" spans="5:5" ht="15.75" customHeight="1">
      <c r="E265" s="16"/>
    </row>
    <row r="266" spans="5:5" ht="15.75" customHeight="1">
      <c r="E266" s="16"/>
    </row>
    <row r="267" spans="5:5" ht="15.75" customHeight="1">
      <c r="E267" s="16"/>
    </row>
    <row r="268" spans="5:5" ht="15.75" customHeight="1">
      <c r="E268" s="16"/>
    </row>
    <row r="269" spans="5:5" ht="15.75" customHeight="1">
      <c r="E269" s="16"/>
    </row>
    <row r="270" spans="5:5" ht="15.75" customHeight="1">
      <c r="E270" s="16"/>
    </row>
    <row r="271" spans="5:5" ht="15.75" customHeight="1">
      <c r="E271" s="16"/>
    </row>
    <row r="272" spans="5:5" ht="15.75" customHeight="1">
      <c r="E272" s="16"/>
    </row>
    <row r="273" spans="5:5" ht="15.75" customHeight="1">
      <c r="E273" s="16"/>
    </row>
    <row r="274" spans="5:5" ht="15.75" customHeight="1">
      <c r="E274" s="16"/>
    </row>
    <row r="275" spans="5:5" ht="15.75" customHeight="1">
      <c r="E275" s="16"/>
    </row>
    <row r="276" spans="5:5" ht="15.75" customHeight="1">
      <c r="E276" s="16"/>
    </row>
    <row r="277" spans="5:5" ht="15.75" customHeight="1">
      <c r="E277" s="16"/>
    </row>
    <row r="278" spans="5:5" ht="15.75" customHeight="1">
      <c r="E278" s="16"/>
    </row>
    <row r="279" spans="5:5" ht="15.75" customHeight="1">
      <c r="E279" s="16"/>
    </row>
    <row r="280" spans="5:5" ht="15.75" customHeight="1">
      <c r="E280" s="16"/>
    </row>
    <row r="281" spans="5:5" ht="15.75" customHeight="1">
      <c r="E281" s="16"/>
    </row>
    <row r="282" spans="5:5" ht="15.75" customHeight="1">
      <c r="E282" s="16"/>
    </row>
    <row r="283" spans="5:5" ht="15.75" customHeight="1">
      <c r="E283" s="16"/>
    </row>
    <row r="284" spans="5:5" ht="15.75" customHeight="1">
      <c r="E284" s="16"/>
    </row>
    <row r="285" spans="5:5" ht="15.75" customHeight="1">
      <c r="E285" s="16"/>
    </row>
    <row r="286" spans="5:5" ht="15.75" customHeight="1">
      <c r="E286" s="16"/>
    </row>
    <row r="287" spans="5:5" ht="15.75" customHeight="1">
      <c r="E287" s="16"/>
    </row>
    <row r="288" spans="5:5" ht="15.75" customHeight="1">
      <c r="E288" s="16"/>
    </row>
    <row r="289" spans="5:5" ht="15.75" customHeight="1">
      <c r="E289" s="16"/>
    </row>
    <row r="290" spans="5:5" ht="15.75" customHeight="1">
      <c r="E290" s="16"/>
    </row>
    <row r="291" spans="5:5" ht="15.75" customHeight="1">
      <c r="E291" s="16"/>
    </row>
    <row r="292" spans="5:5" ht="15.75" customHeight="1">
      <c r="E292" s="16"/>
    </row>
    <row r="293" spans="5:5" ht="15.75" customHeight="1">
      <c r="E293" s="16"/>
    </row>
    <row r="294" spans="5:5" ht="15.75" customHeight="1">
      <c r="E294" s="16"/>
    </row>
    <row r="295" spans="5:5" ht="15.75" customHeight="1">
      <c r="E295" s="16"/>
    </row>
    <row r="296" spans="5:5" ht="15.75" customHeight="1">
      <c r="E296" s="16"/>
    </row>
    <row r="297" spans="5:5" ht="15.75" customHeight="1">
      <c r="E297" s="16"/>
    </row>
    <row r="298" spans="5:5" ht="15.75" customHeight="1">
      <c r="E298" s="16"/>
    </row>
    <row r="299" spans="5:5" ht="15.75" customHeight="1">
      <c r="E299" s="16"/>
    </row>
    <row r="300" spans="5:5" ht="15.75" customHeight="1">
      <c r="E300" s="16"/>
    </row>
    <row r="301" spans="5:5" ht="15.75" customHeight="1">
      <c r="E301" s="16"/>
    </row>
    <row r="302" spans="5:5" ht="15.75" customHeight="1">
      <c r="E302" s="16"/>
    </row>
    <row r="303" spans="5:5" ht="15.75" customHeight="1">
      <c r="E303" s="16"/>
    </row>
    <row r="304" spans="5:5" ht="15.75" customHeight="1">
      <c r="E304" s="16"/>
    </row>
    <row r="305" spans="5:5" ht="15.75" customHeight="1">
      <c r="E305" s="16"/>
    </row>
    <row r="306" spans="5:5" ht="15.75" customHeight="1">
      <c r="E306" s="16"/>
    </row>
    <row r="307" spans="5:5" ht="15.75" customHeight="1">
      <c r="E307" s="16"/>
    </row>
    <row r="308" spans="5:5" ht="15.75" customHeight="1">
      <c r="E308" s="16"/>
    </row>
    <row r="309" spans="5:5" ht="15.75" customHeight="1">
      <c r="E309" s="16"/>
    </row>
    <row r="310" spans="5:5" ht="15.75" customHeight="1">
      <c r="E310" s="16"/>
    </row>
    <row r="311" spans="5:5" ht="15.75" customHeight="1">
      <c r="E311" s="16"/>
    </row>
    <row r="312" spans="5:5" ht="15.75" customHeight="1">
      <c r="E312" s="16"/>
    </row>
    <row r="313" spans="5:5" ht="15.75" customHeight="1">
      <c r="E313" s="16"/>
    </row>
    <row r="314" spans="5:5" ht="15.75" customHeight="1">
      <c r="E314" s="16"/>
    </row>
    <row r="315" spans="5:5" ht="15.75" customHeight="1">
      <c r="E315" s="16"/>
    </row>
    <row r="316" spans="5:5" ht="15.75" customHeight="1">
      <c r="E316" s="16"/>
    </row>
    <row r="317" spans="5:5" ht="15.75" customHeight="1">
      <c r="E317" s="16"/>
    </row>
    <row r="318" spans="5:5" ht="15.75" customHeight="1">
      <c r="E318" s="16"/>
    </row>
    <row r="319" spans="5:5" ht="15.75" customHeight="1">
      <c r="E319" s="16"/>
    </row>
    <row r="320" spans="5:5" ht="15.75" customHeight="1">
      <c r="E320" s="16"/>
    </row>
    <row r="321" spans="5:5" ht="15.75" customHeight="1">
      <c r="E321" s="16"/>
    </row>
    <row r="322" spans="5:5" ht="15.75" customHeight="1">
      <c r="E322" s="16"/>
    </row>
    <row r="323" spans="5:5" ht="15.75" customHeight="1">
      <c r="E323" s="16"/>
    </row>
    <row r="324" spans="5:5" ht="15.75" customHeight="1">
      <c r="E324" s="16"/>
    </row>
    <row r="325" spans="5:5" ht="15.75" customHeight="1">
      <c r="E325" s="16"/>
    </row>
    <row r="326" spans="5:5" ht="15.75" customHeight="1">
      <c r="E326" s="16"/>
    </row>
    <row r="327" spans="5:5" ht="15.75" customHeight="1">
      <c r="E327" s="16"/>
    </row>
    <row r="328" spans="5:5" ht="15.75" customHeight="1">
      <c r="E328" s="16"/>
    </row>
    <row r="329" spans="5:5" ht="15.75" customHeight="1">
      <c r="E329" s="16"/>
    </row>
    <row r="330" spans="5:5" ht="15.75" customHeight="1">
      <c r="E330" s="16"/>
    </row>
    <row r="331" spans="5:5" ht="15.75" customHeight="1">
      <c r="E331" s="16"/>
    </row>
    <row r="332" spans="5:5" ht="15.75" customHeight="1">
      <c r="E332" s="16"/>
    </row>
    <row r="333" spans="5:5" ht="15.75" customHeight="1">
      <c r="E333" s="16"/>
    </row>
    <row r="334" spans="5:5" ht="15.75" customHeight="1">
      <c r="E334" s="16"/>
    </row>
    <row r="335" spans="5:5" ht="15.75" customHeight="1">
      <c r="E335" s="16"/>
    </row>
    <row r="336" spans="5:5" ht="15.75" customHeight="1">
      <c r="E336" s="16"/>
    </row>
    <row r="337" spans="5:5" ht="15.75" customHeight="1">
      <c r="E337" s="16"/>
    </row>
    <row r="338" spans="5:5" ht="15.75" customHeight="1">
      <c r="E338" s="16"/>
    </row>
    <row r="339" spans="5:5" ht="15.75" customHeight="1">
      <c r="E339" s="16"/>
    </row>
    <row r="340" spans="5:5" ht="15.75" customHeight="1">
      <c r="E340" s="16"/>
    </row>
    <row r="341" spans="5:5" ht="15.75" customHeight="1">
      <c r="E341" s="16"/>
    </row>
    <row r="342" spans="5:5" ht="15.75" customHeight="1">
      <c r="E342" s="16"/>
    </row>
    <row r="343" spans="5:5" ht="15.75" customHeight="1">
      <c r="E343" s="16"/>
    </row>
    <row r="344" spans="5:5" ht="15.75" customHeight="1">
      <c r="E344" s="16"/>
    </row>
    <row r="345" spans="5:5" ht="15.75" customHeight="1">
      <c r="E345" s="16"/>
    </row>
    <row r="346" spans="5:5" ht="15.75" customHeight="1">
      <c r="E346" s="16"/>
    </row>
    <row r="347" spans="5:5" ht="15.75" customHeight="1">
      <c r="E347" s="16"/>
    </row>
    <row r="348" spans="5:5" ht="15.75" customHeight="1">
      <c r="E348" s="16"/>
    </row>
    <row r="349" spans="5:5" ht="15.75" customHeight="1">
      <c r="E349" s="16"/>
    </row>
    <row r="350" spans="5:5" ht="15.75" customHeight="1">
      <c r="E350" s="16"/>
    </row>
    <row r="351" spans="5:5" ht="15.75" customHeight="1">
      <c r="E351" s="16"/>
    </row>
    <row r="352" spans="5:5" ht="15.75" customHeight="1">
      <c r="E352" s="16"/>
    </row>
    <row r="353" spans="5:5" ht="15.75" customHeight="1">
      <c r="E353" s="16"/>
    </row>
    <row r="354" spans="5:5" ht="15.75" customHeight="1">
      <c r="E354" s="16"/>
    </row>
    <row r="355" spans="5:5" ht="15.75" customHeight="1">
      <c r="E355" s="16"/>
    </row>
    <row r="356" spans="5:5" ht="15.75" customHeight="1">
      <c r="E356" s="16"/>
    </row>
    <row r="357" spans="5:5" ht="15.75" customHeight="1">
      <c r="E357" s="16"/>
    </row>
    <row r="358" spans="5:5" ht="15.75" customHeight="1">
      <c r="E358" s="16"/>
    </row>
    <row r="359" spans="5:5" ht="15.75" customHeight="1">
      <c r="E359" s="16"/>
    </row>
    <row r="360" spans="5:5" ht="15.75" customHeight="1">
      <c r="E360" s="16"/>
    </row>
    <row r="361" spans="5:5" ht="15.75" customHeight="1">
      <c r="E361" s="16"/>
    </row>
    <row r="362" spans="5:5" ht="15.75" customHeight="1">
      <c r="E362" s="16"/>
    </row>
    <row r="363" spans="5:5" ht="15.75" customHeight="1">
      <c r="E363" s="16"/>
    </row>
    <row r="364" spans="5:5" ht="15.75" customHeight="1">
      <c r="E364" s="16"/>
    </row>
    <row r="365" spans="5:5" ht="15.75" customHeight="1">
      <c r="E365" s="16"/>
    </row>
    <row r="366" spans="5:5" ht="15.75" customHeight="1">
      <c r="E366" s="16"/>
    </row>
    <row r="367" spans="5:5" ht="15.75" customHeight="1">
      <c r="E367" s="16"/>
    </row>
    <row r="368" spans="5:5" ht="15.75" customHeight="1">
      <c r="E368" s="16"/>
    </row>
    <row r="369" spans="5:5" ht="15.75" customHeight="1">
      <c r="E369" s="16"/>
    </row>
    <row r="370" spans="5:5" ht="15.75" customHeight="1">
      <c r="E370" s="16"/>
    </row>
    <row r="371" spans="5:5" ht="15.75" customHeight="1">
      <c r="E371" s="16"/>
    </row>
    <row r="372" spans="5:5" ht="15.75" customHeight="1">
      <c r="E372" s="16"/>
    </row>
    <row r="373" spans="5:5" ht="15.75" customHeight="1">
      <c r="E373" s="16"/>
    </row>
    <row r="374" spans="5:5" ht="15.75" customHeight="1">
      <c r="E374" s="16"/>
    </row>
    <row r="375" spans="5:5" ht="15.75" customHeight="1">
      <c r="E375" s="16"/>
    </row>
    <row r="376" spans="5:5" ht="15.75" customHeight="1">
      <c r="E376" s="16"/>
    </row>
    <row r="377" spans="5:5" ht="15.75" customHeight="1">
      <c r="E377" s="16"/>
    </row>
    <row r="378" spans="5:5" ht="15.75" customHeight="1">
      <c r="E378" s="16"/>
    </row>
    <row r="379" spans="5:5" ht="15.75" customHeight="1">
      <c r="E379" s="16"/>
    </row>
    <row r="380" spans="5:5" ht="15.75" customHeight="1">
      <c r="E380" s="16"/>
    </row>
    <row r="381" spans="5:5" ht="15.75" customHeight="1">
      <c r="E381" s="16"/>
    </row>
    <row r="382" spans="5:5" ht="15.75" customHeight="1">
      <c r="E382" s="16"/>
    </row>
    <row r="383" spans="5:5" ht="15.75" customHeight="1">
      <c r="E383" s="16"/>
    </row>
    <row r="384" spans="5:5" ht="15.75" customHeight="1">
      <c r="E384" s="16"/>
    </row>
    <row r="385" spans="5:5" ht="15.75" customHeight="1">
      <c r="E385" s="16"/>
    </row>
    <row r="386" spans="5:5" ht="15.75" customHeight="1">
      <c r="E386" s="16"/>
    </row>
    <row r="387" spans="5:5" ht="15.75" customHeight="1">
      <c r="E387" s="16"/>
    </row>
    <row r="388" spans="5:5" ht="15.75" customHeight="1">
      <c r="E388" s="16"/>
    </row>
    <row r="389" spans="5:5" ht="15.75" customHeight="1">
      <c r="E389" s="16"/>
    </row>
    <row r="390" spans="5:5" ht="15.75" customHeight="1">
      <c r="E390" s="16"/>
    </row>
    <row r="391" spans="5:5" ht="15.75" customHeight="1">
      <c r="E391" s="16"/>
    </row>
    <row r="392" spans="5:5" ht="15.75" customHeight="1">
      <c r="E392" s="16"/>
    </row>
    <row r="393" spans="5:5" ht="15.75" customHeight="1">
      <c r="E393" s="16"/>
    </row>
    <row r="394" spans="5:5" ht="15.75" customHeight="1">
      <c r="E394" s="16"/>
    </row>
    <row r="395" spans="5:5" ht="15.75" customHeight="1">
      <c r="E395" s="16"/>
    </row>
    <row r="396" spans="5:5" ht="15.75" customHeight="1">
      <c r="E396" s="16"/>
    </row>
    <row r="397" spans="5:5" ht="15.75" customHeight="1">
      <c r="E397" s="16"/>
    </row>
    <row r="398" spans="5:5" ht="15.75" customHeight="1">
      <c r="E398" s="16"/>
    </row>
    <row r="399" spans="5:5" ht="15.75" customHeight="1">
      <c r="E399" s="16"/>
    </row>
    <row r="400" spans="5:5" ht="15.75" customHeight="1">
      <c r="E400" s="16"/>
    </row>
    <row r="401" spans="5:5" ht="15.75" customHeight="1">
      <c r="E401" s="16"/>
    </row>
    <row r="402" spans="5:5" ht="15.75" customHeight="1">
      <c r="E402" s="16"/>
    </row>
    <row r="403" spans="5:5" ht="15.75" customHeight="1">
      <c r="E403" s="16"/>
    </row>
    <row r="404" spans="5:5" ht="15.75" customHeight="1">
      <c r="E404" s="16"/>
    </row>
    <row r="405" spans="5:5" ht="15.75" customHeight="1">
      <c r="E405" s="16"/>
    </row>
    <row r="406" spans="5:5" ht="15.75" customHeight="1">
      <c r="E406" s="16"/>
    </row>
    <row r="407" spans="5:5" ht="15.75" customHeight="1">
      <c r="E407" s="16"/>
    </row>
    <row r="408" spans="5:5" ht="15.75" customHeight="1">
      <c r="E408" s="16"/>
    </row>
    <row r="409" spans="5:5" ht="15.75" customHeight="1">
      <c r="E409" s="16"/>
    </row>
    <row r="410" spans="5:5" ht="15.75" customHeight="1">
      <c r="E410" s="16"/>
    </row>
    <row r="411" spans="5:5" ht="15.75" customHeight="1">
      <c r="E411" s="16"/>
    </row>
    <row r="412" spans="5:5" ht="15.75" customHeight="1">
      <c r="E412" s="16"/>
    </row>
    <row r="413" spans="5:5" ht="15.75" customHeight="1">
      <c r="E413" s="16"/>
    </row>
    <row r="414" spans="5:5" ht="15.75" customHeight="1">
      <c r="E414" s="16"/>
    </row>
    <row r="415" spans="5:5" ht="15.75" customHeight="1">
      <c r="E415" s="16"/>
    </row>
    <row r="416" spans="5:5" ht="15.75" customHeight="1">
      <c r="E416" s="16"/>
    </row>
    <row r="417" spans="5:5" ht="15.75" customHeight="1">
      <c r="E417" s="16"/>
    </row>
    <row r="418" spans="5:5" ht="15.75" customHeight="1">
      <c r="E418" s="16"/>
    </row>
    <row r="419" spans="5:5" ht="15.75" customHeight="1">
      <c r="E419" s="16"/>
    </row>
    <row r="420" spans="5:5" ht="15.75" customHeight="1">
      <c r="E420" s="16"/>
    </row>
    <row r="421" spans="5:5" ht="15.75" customHeight="1">
      <c r="E421" s="16"/>
    </row>
    <row r="422" spans="5:5" ht="15.75" customHeight="1">
      <c r="E422" s="16"/>
    </row>
    <row r="423" spans="5:5" ht="15.75" customHeight="1">
      <c r="E423" s="16"/>
    </row>
    <row r="424" spans="5:5" ht="15.75" customHeight="1">
      <c r="E424" s="16"/>
    </row>
    <row r="425" spans="5:5" ht="15.75" customHeight="1">
      <c r="E425" s="16"/>
    </row>
    <row r="426" spans="5:5" ht="15.75" customHeight="1">
      <c r="E426" s="16"/>
    </row>
    <row r="427" spans="5:5" ht="15.75" customHeight="1">
      <c r="E427" s="16"/>
    </row>
    <row r="428" spans="5:5" ht="15.75" customHeight="1">
      <c r="E428" s="16"/>
    </row>
    <row r="429" spans="5:5" ht="15.75" customHeight="1">
      <c r="E429" s="16"/>
    </row>
    <row r="430" spans="5:5" ht="15.75" customHeight="1">
      <c r="E430" s="16"/>
    </row>
    <row r="431" spans="5:5" ht="15.75" customHeight="1">
      <c r="E431" s="16"/>
    </row>
    <row r="432" spans="5:5" ht="15.75" customHeight="1">
      <c r="E432" s="16"/>
    </row>
    <row r="433" spans="5:5" ht="15.75" customHeight="1">
      <c r="E433" s="16"/>
    </row>
    <row r="434" spans="5:5" ht="15.75" customHeight="1">
      <c r="E434" s="16"/>
    </row>
    <row r="435" spans="5:5" ht="15.75" customHeight="1">
      <c r="E435" s="16"/>
    </row>
    <row r="436" spans="5:5" ht="15.75" customHeight="1">
      <c r="E436" s="16"/>
    </row>
    <row r="437" spans="5:5" ht="15.75" customHeight="1">
      <c r="E437" s="16"/>
    </row>
    <row r="438" spans="5:5" ht="15.75" customHeight="1">
      <c r="E438" s="16"/>
    </row>
    <row r="439" spans="5:5" ht="15.75" customHeight="1">
      <c r="E439" s="16"/>
    </row>
    <row r="440" spans="5:5" ht="15.75" customHeight="1">
      <c r="E440" s="16"/>
    </row>
    <row r="441" spans="5:5" ht="15.75" customHeight="1">
      <c r="E441" s="16"/>
    </row>
    <row r="442" spans="5:5" ht="15.75" customHeight="1">
      <c r="E442" s="16"/>
    </row>
    <row r="443" spans="5:5" ht="15.75" customHeight="1">
      <c r="E443" s="16"/>
    </row>
    <row r="444" spans="5:5" ht="15.75" customHeight="1">
      <c r="E444" s="16"/>
    </row>
    <row r="445" spans="5:5" ht="15.75" customHeight="1">
      <c r="E445" s="16"/>
    </row>
    <row r="446" spans="5:5" ht="15.75" customHeight="1">
      <c r="E446" s="16"/>
    </row>
    <row r="447" spans="5:5" ht="15.75" customHeight="1">
      <c r="E447" s="16"/>
    </row>
    <row r="448" spans="5:5" ht="15.75" customHeight="1">
      <c r="E448" s="16"/>
    </row>
    <row r="449" spans="5:5" ht="15.75" customHeight="1">
      <c r="E449" s="16"/>
    </row>
    <row r="450" spans="5:5" ht="15.75" customHeight="1">
      <c r="E450" s="16"/>
    </row>
    <row r="451" spans="5:5" ht="15.75" customHeight="1">
      <c r="E451" s="16"/>
    </row>
    <row r="452" spans="5:5" ht="15.75" customHeight="1">
      <c r="E452" s="16"/>
    </row>
    <row r="453" spans="5:5" ht="15.75" customHeight="1">
      <c r="E453" s="16"/>
    </row>
    <row r="454" spans="5:5" ht="15.75" customHeight="1">
      <c r="E454" s="16"/>
    </row>
    <row r="455" spans="5:5" ht="15.75" customHeight="1">
      <c r="E455" s="16"/>
    </row>
    <row r="456" spans="5:5" ht="15.75" customHeight="1">
      <c r="E456" s="16"/>
    </row>
    <row r="457" spans="5:5" ht="15.75" customHeight="1">
      <c r="E457" s="16"/>
    </row>
    <row r="458" spans="5:5" ht="15.75" customHeight="1">
      <c r="E458" s="16"/>
    </row>
    <row r="459" spans="5:5" ht="15.75" customHeight="1">
      <c r="E459" s="16"/>
    </row>
    <row r="460" spans="5:5" ht="15.75" customHeight="1">
      <c r="E460" s="16"/>
    </row>
    <row r="461" spans="5:5" ht="15.75" customHeight="1">
      <c r="E461" s="16"/>
    </row>
    <row r="462" spans="5:5" ht="15.75" customHeight="1">
      <c r="E462" s="16"/>
    </row>
    <row r="463" spans="5:5" ht="15.75" customHeight="1">
      <c r="E463" s="16"/>
    </row>
    <row r="464" spans="5:5" ht="15.75" customHeight="1">
      <c r="E464" s="16"/>
    </row>
    <row r="465" spans="5:5" ht="15.75" customHeight="1">
      <c r="E465" s="16"/>
    </row>
    <row r="466" spans="5:5" ht="15.75" customHeight="1">
      <c r="E466" s="16"/>
    </row>
    <row r="467" spans="5:5" ht="15.75" customHeight="1">
      <c r="E467" s="16"/>
    </row>
    <row r="468" spans="5:5" ht="15.75" customHeight="1">
      <c r="E468" s="16"/>
    </row>
    <row r="469" spans="5:5" ht="15.75" customHeight="1">
      <c r="E469" s="16"/>
    </row>
    <row r="470" spans="5:5" ht="15.75" customHeight="1">
      <c r="E470" s="16"/>
    </row>
    <row r="471" spans="5:5" ht="15.75" customHeight="1">
      <c r="E471" s="16"/>
    </row>
    <row r="472" spans="5:5" ht="15.75" customHeight="1">
      <c r="E472" s="16"/>
    </row>
    <row r="473" spans="5:5" ht="15.75" customHeight="1">
      <c r="E473" s="16"/>
    </row>
    <row r="474" spans="5:5" ht="15.75" customHeight="1">
      <c r="E474" s="16"/>
    </row>
    <row r="475" spans="5:5" ht="15.75" customHeight="1">
      <c r="E475" s="16"/>
    </row>
    <row r="476" spans="5:5" ht="15.75" customHeight="1">
      <c r="E476" s="16"/>
    </row>
    <row r="477" spans="5:5" ht="15.75" customHeight="1">
      <c r="E477" s="16"/>
    </row>
    <row r="478" spans="5:5" ht="15.75" customHeight="1">
      <c r="E478" s="16"/>
    </row>
    <row r="479" spans="5:5" ht="15.75" customHeight="1">
      <c r="E479" s="16"/>
    </row>
    <row r="480" spans="5:5" ht="15.75" customHeight="1">
      <c r="E480" s="16"/>
    </row>
    <row r="481" spans="5:5" ht="15.75" customHeight="1">
      <c r="E481" s="16"/>
    </row>
    <row r="482" spans="5:5" ht="15.75" customHeight="1">
      <c r="E482" s="16"/>
    </row>
    <row r="483" spans="5:5" ht="15.75" customHeight="1">
      <c r="E483" s="16"/>
    </row>
    <row r="484" spans="5:5" ht="15.75" customHeight="1">
      <c r="E484" s="16"/>
    </row>
    <row r="485" spans="5:5" ht="15.75" customHeight="1">
      <c r="E485" s="16"/>
    </row>
    <row r="486" spans="5:5" ht="15.75" customHeight="1">
      <c r="E486" s="16"/>
    </row>
    <row r="487" spans="5:5" ht="15.75" customHeight="1">
      <c r="E487" s="16"/>
    </row>
    <row r="488" spans="5:5" ht="15.75" customHeight="1">
      <c r="E488" s="16"/>
    </row>
    <row r="489" spans="5:5" ht="15.75" customHeight="1">
      <c r="E489" s="16"/>
    </row>
    <row r="490" spans="5:5" ht="15.75" customHeight="1">
      <c r="E490" s="16"/>
    </row>
    <row r="491" spans="5:5" ht="15.75" customHeight="1">
      <c r="E491" s="16"/>
    </row>
    <row r="492" spans="5:5" ht="15.75" customHeight="1">
      <c r="E492" s="16"/>
    </row>
    <row r="493" spans="5:5" ht="15.75" customHeight="1">
      <c r="E493" s="16"/>
    </row>
    <row r="494" spans="5:5" ht="15.75" customHeight="1">
      <c r="E494" s="16"/>
    </row>
    <row r="495" spans="5:5" ht="15.75" customHeight="1">
      <c r="E495" s="16"/>
    </row>
    <row r="496" spans="5:5" ht="15.75" customHeight="1">
      <c r="E496" s="16"/>
    </row>
    <row r="497" spans="5:5" ht="15.75" customHeight="1">
      <c r="E497" s="16"/>
    </row>
    <row r="498" spans="5:5" ht="15.75" customHeight="1">
      <c r="E498" s="16"/>
    </row>
    <row r="499" spans="5:5" ht="15.75" customHeight="1">
      <c r="E499" s="16"/>
    </row>
    <row r="500" spans="5:5" ht="15.75" customHeight="1">
      <c r="E500" s="16"/>
    </row>
    <row r="501" spans="5:5" ht="15.75" customHeight="1"/>
    <row r="502" spans="5:5" ht="15.75" customHeight="1"/>
    <row r="503" spans="5:5" ht="15.75" customHeight="1"/>
    <row r="504" spans="5:5" ht="15.75" customHeight="1"/>
    <row r="505" spans="5:5" ht="15.75" customHeight="1"/>
    <row r="506" spans="5:5" ht="15.75" customHeight="1"/>
    <row r="507" spans="5:5" ht="15.75" customHeight="1"/>
    <row r="508" spans="5:5" ht="15.75" customHeight="1"/>
    <row r="509" spans="5:5" ht="15.75" customHeight="1"/>
    <row r="510" spans="5:5" ht="15.75" customHeight="1"/>
    <row r="511" spans="5:5" ht="15.75" customHeight="1"/>
    <row r="512" spans="5:5"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7" xr:uid="{00000000-0009-0000-0000-000004000000}"/>
  <conditionalFormatting sqref="E2:E17">
    <cfRule type="expression" dxfId="7" priority="1">
      <formula>E2="DONE"</formula>
    </cfRule>
    <cfRule type="expression" dxfId="6" priority="2">
      <formula>E2="DOING"</formula>
    </cfRule>
    <cfRule type="expression" dxfId="5" priority="3">
      <formula>E2="BLOCKED"</formula>
    </cfRule>
    <cfRule type="expression" dxfId="4" priority="4">
      <formula>E2="PASS"</formula>
    </cfRule>
  </conditionalFormatting>
  <dataValidations count="1">
    <dataValidation type="list" allowBlank="1" sqref="E2:E500" xr:uid="{00000000-0002-0000-0400-000000000000}">
      <formula1>"TODO,DOING,DONE,BLOCKED"</formula1>
    </dataValidation>
  </dataValidations>
  <pageMargins left="0.25" right="0.25" top="0.45" bottom="0.45" header="0" footer="0"/>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2994A"/>
    <pageSetUpPr fitToPage="1"/>
  </sheetPr>
  <dimension ref="A1:K1000"/>
  <sheetViews>
    <sheetView showGridLines="0" workbookViewId="0">
      <pane ySplit="1" topLeftCell="A2" activePane="bottomLeft" state="frozen"/>
      <selection pane="bottomLeft" activeCell="J18" sqref="J18"/>
    </sheetView>
  </sheetViews>
  <sheetFormatPr defaultColWidth="14.44140625" defaultRowHeight="15" customHeight="1"/>
  <cols>
    <col min="1" max="1" width="38" customWidth="1"/>
    <col min="2" max="2" width="24" customWidth="1"/>
    <col min="3" max="5" width="30" customWidth="1"/>
    <col min="6" max="8" width="34" customWidth="1"/>
    <col min="9" max="10" width="45" customWidth="1"/>
    <col min="11" max="11" width="38" customWidth="1"/>
    <col min="12" max="26" width="8.6640625" customWidth="1"/>
  </cols>
  <sheetData>
    <row r="1" spans="1:11" ht="37.5" customHeight="1">
      <c r="A1" s="28" t="s">
        <v>725</v>
      </c>
      <c r="B1" s="28" t="s">
        <v>726</v>
      </c>
      <c r="C1" s="28" t="s">
        <v>727</v>
      </c>
      <c r="D1" s="28" t="s">
        <v>728</v>
      </c>
      <c r="E1" s="28" t="s">
        <v>729</v>
      </c>
      <c r="F1" s="28" t="s">
        <v>730</v>
      </c>
      <c r="G1" s="28" t="s">
        <v>731</v>
      </c>
      <c r="H1" s="28" t="s">
        <v>732</v>
      </c>
      <c r="I1" s="28" t="s">
        <v>310</v>
      </c>
      <c r="J1" s="28" t="s">
        <v>733</v>
      </c>
      <c r="K1" s="28" t="s">
        <v>734</v>
      </c>
    </row>
    <row r="2" spans="1:11" ht="14.4" customHeight="1">
      <c r="A2" s="10" t="s">
        <v>735</v>
      </c>
      <c r="B2" s="10" t="s">
        <v>736</v>
      </c>
      <c r="C2" s="10" t="s">
        <v>737</v>
      </c>
      <c r="D2" s="10" t="s">
        <v>738</v>
      </c>
      <c r="E2" s="10" t="s">
        <v>739</v>
      </c>
      <c r="F2" s="10" t="s">
        <v>740</v>
      </c>
      <c r="G2" s="10" t="s">
        <v>736</v>
      </c>
      <c r="H2" s="10" t="s">
        <v>741</v>
      </c>
      <c r="I2" s="10" t="s">
        <v>742</v>
      </c>
      <c r="J2" s="33" t="s">
        <v>743</v>
      </c>
      <c r="K2" s="33" t="s">
        <v>744</v>
      </c>
    </row>
    <row r="3" spans="1:11" ht="14.4" customHeight="1">
      <c r="A3" s="10" t="s">
        <v>745</v>
      </c>
      <c r="B3" s="10" t="s">
        <v>408</v>
      </c>
      <c r="C3" s="10" t="s">
        <v>746</v>
      </c>
      <c r="D3" s="10" t="s">
        <v>747</v>
      </c>
      <c r="E3" s="10" t="s">
        <v>748</v>
      </c>
      <c r="F3" s="10" t="s">
        <v>748</v>
      </c>
      <c r="G3" s="10" t="s">
        <v>749</v>
      </c>
      <c r="H3" s="10" t="s">
        <v>750</v>
      </c>
      <c r="I3" s="10" t="s">
        <v>751</v>
      </c>
      <c r="J3" s="33" t="s">
        <v>752</v>
      </c>
      <c r="K3" s="33" t="s">
        <v>752</v>
      </c>
    </row>
    <row r="4" spans="1:11" ht="14.4" customHeight="1">
      <c r="A4" s="10" t="s">
        <v>753</v>
      </c>
      <c r="B4" s="10" t="s">
        <v>426</v>
      </c>
      <c r="C4" s="10" t="s">
        <v>754</v>
      </c>
      <c r="D4" s="10" t="s">
        <v>755</v>
      </c>
      <c r="E4" s="10" t="s">
        <v>756</v>
      </c>
      <c r="F4" s="10" t="s">
        <v>748</v>
      </c>
      <c r="G4" s="10" t="s">
        <v>757</v>
      </c>
      <c r="H4" s="10" t="s">
        <v>758</v>
      </c>
      <c r="I4" s="10" t="s">
        <v>759</v>
      </c>
      <c r="J4" s="33" t="s">
        <v>752</v>
      </c>
      <c r="K4" s="33" t="s">
        <v>752</v>
      </c>
    </row>
    <row r="5" spans="1:11" ht="14.4" customHeight="1">
      <c r="A5" s="10" t="s">
        <v>760</v>
      </c>
      <c r="B5" s="10" t="s">
        <v>408</v>
      </c>
      <c r="C5" s="10" t="s">
        <v>761</v>
      </c>
      <c r="D5" s="10" t="s">
        <v>762</v>
      </c>
      <c r="E5" s="10" t="s">
        <v>763</v>
      </c>
      <c r="F5" s="10" t="s">
        <v>764</v>
      </c>
      <c r="G5" s="10" t="s">
        <v>765</v>
      </c>
      <c r="H5" s="10" t="s">
        <v>766</v>
      </c>
      <c r="I5" s="10" t="s">
        <v>767</v>
      </c>
      <c r="J5" s="33" t="s">
        <v>752</v>
      </c>
      <c r="K5" s="33" t="s">
        <v>752</v>
      </c>
    </row>
    <row r="6" spans="1:11" ht="14.4" customHeight="1">
      <c r="A6" s="10" t="s">
        <v>768</v>
      </c>
      <c r="B6" s="10" t="s">
        <v>426</v>
      </c>
      <c r="C6" s="10" t="s">
        <v>769</v>
      </c>
      <c r="D6" s="10" t="s">
        <v>770</v>
      </c>
      <c r="E6" s="10" t="s">
        <v>771</v>
      </c>
      <c r="F6" s="10" t="s">
        <v>772</v>
      </c>
      <c r="G6" s="10" t="s">
        <v>773</v>
      </c>
      <c r="H6" s="10" t="s">
        <v>774</v>
      </c>
      <c r="I6" s="10" t="s">
        <v>775</v>
      </c>
      <c r="J6" s="33" t="s">
        <v>752</v>
      </c>
      <c r="K6" s="33" t="s">
        <v>752</v>
      </c>
    </row>
    <row r="7" spans="1:11" ht="14.4" customHeight="1">
      <c r="A7" s="10" t="s">
        <v>776</v>
      </c>
      <c r="B7" s="10" t="s">
        <v>417</v>
      </c>
      <c r="C7" s="10" t="s">
        <v>418</v>
      </c>
      <c r="D7" s="10" t="s">
        <v>777</v>
      </c>
      <c r="E7" s="10" t="s">
        <v>778</v>
      </c>
      <c r="F7" s="10" t="s">
        <v>779</v>
      </c>
      <c r="G7" s="10" t="s">
        <v>780</v>
      </c>
      <c r="H7" s="10" t="s">
        <v>781</v>
      </c>
      <c r="I7" s="10" t="s">
        <v>782</v>
      </c>
      <c r="J7" s="33" t="s">
        <v>752</v>
      </c>
      <c r="K7" s="33" t="s">
        <v>752</v>
      </c>
    </row>
    <row r="8" spans="1:11" ht="14.4" customHeight="1">
      <c r="A8" s="10" t="s">
        <v>783</v>
      </c>
      <c r="B8" s="10" t="s">
        <v>784</v>
      </c>
      <c r="C8" s="10" t="s">
        <v>785</v>
      </c>
      <c r="D8" s="10" t="s">
        <v>786</v>
      </c>
      <c r="E8" s="10" t="s">
        <v>787</v>
      </c>
      <c r="F8" s="10" t="s">
        <v>788</v>
      </c>
      <c r="G8" s="10" t="s">
        <v>789</v>
      </c>
      <c r="H8" s="10" t="s">
        <v>790</v>
      </c>
      <c r="I8" s="10" t="s">
        <v>791</v>
      </c>
      <c r="J8" s="33" t="s">
        <v>752</v>
      </c>
      <c r="K8" s="33" t="s">
        <v>752</v>
      </c>
    </row>
    <row r="9" spans="1:11" ht="14.4" customHeight="1">
      <c r="A9" s="10" t="s">
        <v>792</v>
      </c>
      <c r="B9" s="10" t="s">
        <v>426</v>
      </c>
      <c r="C9" s="10" t="s">
        <v>793</v>
      </c>
      <c r="D9" s="10" t="s">
        <v>794</v>
      </c>
      <c r="E9" s="10" t="s">
        <v>795</v>
      </c>
      <c r="F9" s="10" t="s">
        <v>748</v>
      </c>
      <c r="G9" s="10" t="s">
        <v>796</v>
      </c>
      <c r="H9" s="10" t="s">
        <v>797</v>
      </c>
      <c r="I9" s="10" t="s">
        <v>798</v>
      </c>
      <c r="J9" s="33" t="s">
        <v>752</v>
      </c>
      <c r="K9" s="33" t="s">
        <v>752</v>
      </c>
    </row>
    <row r="10" spans="1:11" ht="14.4" customHeight="1">
      <c r="A10" s="10" t="s">
        <v>799</v>
      </c>
      <c r="B10" s="10" t="s">
        <v>800</v>
      </c>
      <c r="C10" s="10" t="s">
        <v>801</v>
      </c>
      <c r="D10" s="10" t="s">
        <v>802</v>
      </c>
      <c r="E10" s="10" t="s">
        <v>803</v>
      </c>
      <c r="F10" s="10" t="s">
        <v>804</v>
      </c>
      <c r="G10" s="10" t="s">
        <v>805</v>
      </c>
      <c r="H10" s="10" t="s">
        <v>806</v>
      </c>
      <c r="I10" s="10" t="s">
        <v>807</v>
      </c>
      <c r="J10" s="33" t="s">
        <v>752</v>
      </c>
      <c r="K10" s="33" t="s">
        <v>752</v>
      </c>
    </row>
    <row r="11" spans="1:11" ht="14.4" customHeight="1">
      <c r="A11" s="10" t="s">
        <v>808</v>
      </c>
      <c r="B11" s="10" t="s">
        <v>809</v>
      </c>
      <c r="C11" s="10" t="s">
        <v>810</v>
      </c>
      <c r="D11" s="10" t="s">
        <v>811</v>
      </c>
      <c r="E11" s="10" t="s">
        <v>812</v>
      </c>
      <c r="F11" s="10" t="s">
        <v>813</v>
      </c>
      <c r="G11" s="10" t="s">
        <v>814</v>
      </c>
      <c r="H11" s="10" t="s">
        <v>815</v>
      </c>
      <c r="I11" s="10" t="s">
        <v>816</v>
      </c>
      <c r="J11" s="33" t="s">
        <v>752</v>
      </c>
      <c r="K11" s="33" t="s">
        <v>752</v>
      </c>
    </row>
    <row r="12" spans="1:11" ht="14.4" customHeight="1">
      <c r="A12" s="10" t="s">
        <v>817</v>
      </c>
      <c r="B12" s="10" t="s">
        <v>408</v>
      </c>
      <c r="C12" s="10" t="s">
        <v>818</v>
      </c>
      <c r="D12" s="10" t="s">
        <v>819</v>
      </c>
      <c r="E12" s="10" t="s">
        <v>820</v>
      </c>
      <c r="F12" s="10" t="s">
        <v>772</v>
      </c>
      <c r="G12" s="10" t="s">
        <v>821</v>
      </c>
      <c r="H12" s="10" t="s">
        <v>822</v>
      </c>
      <c r="I12" s="10" t="s">
        <v>823</v>
      </c>
      <c r="J12" s="33" t="s">
        <v>752</v>
      </c>
      <c r="K12" s="33" t="s">
        <v>752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2" xr:uid="{00000000-0009-0000-0000-000005000000}"/>
  <pageMargins left="0.25" right="0.25" top="0.45" bottom="0.45" header="0" footer="0"/>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C8EAD"/>
    <pageSetUpPr fitToPage="1"/>
  </sheetPr>
  <dimension ref="A1:K997"/>
  <sheetViews>
    <sheetView showGridLines="0" topLeftCell="AG1" zoomScale="85" zoomScaleNormal="85" workbookViewId="0">
      <pane ySplit="1" topLeftCell="A2" activePane="bottomLeft" state="frozen"/>
      <selection pane="bottomLeft" activeCell="D12" sqref="D12"/>
    </sheetView>
  </sheetViews>
  <sheetFormatPr defaultColWidth="14.44140625" defaultRowHeight="15" customHeight="1"/>
  <cols>
    <col min="1" max="1" width="12" customWidth="1"/>
    <col min="2" max="2" width="14" customWidth="1"/>
    <col min="3" max="3" width="30" customWidth="1"/>
    <col min="4" max="4" width="55" customWidth="1"/>
    <col min="5" max="5" width="34" customWidth="1"/>
    <col min="6" max="6" width="45" customWidth="1"/>
    <col min="7" max="8" width="35" customWidth="1"/>
    <col min="9" max="9" width="40" customWidth="1"/>
    <col min="10" max="10" width="24" customWidth="1"/>
    <col min="11" max="11" width="35" customWidth="1"/>
    <col min="12" max="26" width="8.6640625" customWidth="1"/>
  </cols>
  <sheetData>
    <row r="1" spans="1:11" ht="37.5" customHeight="1" thickBot="1">
      <c r="A1" s="62" t="s">
        <v>0</v>
      </c>
      <c r="B1" s="63" t="s">
        <v>824</v>
      </c>
      <c r="C1" s="63" t="s">
        <v>3</v>
      </c>
      <c r="D1" s="63" t="s">
        <v>825</v>
      </c>
      <c r="E1" s="63" t="s">
        <v>826</v>
      </c>
      <c r="F1" s="63" t="s">
        <v>827</v>
      </c>
      <c r="G1" s="63" t="s">
        <v>828</v>
      </c>
      <c r="H1" s="63" t="s">
        <v>829</v>
      </c>
      <c r="I1" s="63" t="s">
        <v>830</v>
      </c>
      <c r="J1" s="63" t="s">
        <v>831</v>
      </c>
      <c r="K1" s="64" t="s">
        <v>832</v>
      </c>
    </row>
    <row r="2" spans="1:11" ht="111" customHeight="1">
      <c r="A2" s="65" t="s">
        <v>833</v>
      </c>
      <c r="B2" s="66">
        <v>46297</v>
      </c>
      <c r="C2" s="67" t="s">
        <v>834</v>
      </c>
      <c r="D2" s="67" t="s">
        <v>1013</v>
      </c>
      <c r="E2" s="67" t="s">
        <v>835</v>
      </c>
      <c r="F2" s="67" t="s">
        <v>836</v>
      </c>
      <c r="G2" s="67" t="s">
        <v>837</v>
      </c>
      <c r="H2" s="67" t="s">
        <v>838</v>
      </c>
      <c r="I2" s="67" t="s">
        <v>839</v>
      </c>
      <c r="J2" s="67" t="s">
        <v>840</v>
      </c>
      <c r="K2" s="68" t="s">
        <v>841</v>
      </c>
    </row>
    <row r="3" spans="1:11" ht="139.80000000000001" customHeight="1">
      <c r="A3" s="69" t="s">
        <v>842</v>
      </c>
      <c r="B3" s="70">
        <v>46297</v>
      </c>
      <c r="C3" s="71" t="s">
        <v>843</v>
      </c>
      <c r="D3" s="71" t="s">
        <v>1014</v>
      </c>
      <c r="E3" s="71" t="s">
        <v>844</v>
      </c>
      <c r="F3" s="71" t="s">
        <v>845</v>
      </c>
      <c r="G3" s="71" t="s">
        <v>846</v>
      </c>
      <c r="H3" s="71" t="s">
        <v>847</v>
      </c>
      <c r="I3" s="71" t="s">
        <v>848</v>
      </c>
      <c r="J3" s="71" t="s">
        <v>840</v>
      </c>
      <c r="K3" s="72" t="s">
        <v>841</v>
      </c>
    </row>
    <row r="4" spans="1:11" ht="156.6" customHeight="1">
      <c r="A4" s="69" t="s">
        <v>849</v>
      </c>
      <c r="B4" s="70">
        <v>46298</v>
      </c>
      <c r="C4" s="71" t="s">
        <v>850</v>
      </c>
      <c r="D4" s="71" t="s">
        <v>1015</v>
      </c>
      <c r="E4" s="71" t="s">
        <v>851</v>
      </c>
      <c r="F4" s="71" t="s">
        <v>852</v>
      </c>
      <c r="G4" s="71" t="s">
        <v>853</v>
      </c>
      <c r="H4" s="71" t="s">
        <v>854</v>
      </c>
      <c r="I4" s="71" t="s">
        <v>855</v>
      </c>
      <c r="J4" s="71" t="s">
        <v>840</v>
      </c>
      <c r="K4" s="72" t="s">
        <v>841</v>
      </c>
    </row>
    <row r="5" spans="1:11" ht="47.4" customHeight="1">
      <c r="A5" s="69" t="s">
        <v>856</v>
      </c>
      <c r="B5" s="70">
        <v>46298</v>
      </c>
      <c r="C5" s="71" t="s">
        <v>857</v>
      </c>
      <c r="D5" s="71" t="s">
        <v>858</v>
      </c>
      <c r="E5" s="71" t="s">
        <v>859</v>
      </c>
      <c r="F5" s="71" t="s">
        <v>860</v>
      </c>
      <c r="G5" s="71" t="s">
        <v>861</v>
      </c>
      <c r="H5" s="71" t="s">
        <v>862</v>
      </c>
      <c r="I5" s="71" t="s">
        <v>863</v>
      </c>
      <c r="J5" s="71" t="s">
        <v>840</v>
      </c>
      <c r="K5" s="72" t="s">
        <v>841</v>
      </c>
    </row>
    <row r="6" spans="1:11" ht="295.8" customHeight="1">
      <c r="A6" s="69" t="s">
        <v>970</v>
      </c>
      <c r="B6" s="73">
        <v>46298</v>
      </c>
      <c r="C6" s="74" t="s">
        <v>971</v>
      </c>
      <c r="D6" s="74" t="s">
        <v>975</v>
      </c>
      <c r="E6" s="71" t="s">
        <v>972</v>
      </c>
      <c r="F6" s="71" t="s">
        <v>976</v>
      </c>
      <c r="G6" s="71" t="s">
        <v>973</v>
      </c>
      <c r="H6" s="71" t="s">
        <v>974</v>
      </c>
      <c r="I6" s="71" t="s">
        <v>840</v>
      </c>
      <c r="J6" s="71" t="s">
        <v>841</v>
      </c>
      <c r="K6" s="75"/>
    </row>
    <row r="7" spans="1:11" ht="152.4" customHeight="1">
      <c r="A7" s="69" t="s">
        <v>977</v>
      </c>
      <c r="B7" s="73">
        <v>46301</v>
      </c>
      <c r="C7" s="74" t="s">
        <v>978</v>
      </c>
      <c r="D7" s="74" t="s">
        <v>979</v>
      </c>
      <c r="E7" s="71" t="s">
        <v>980</v>
      </c>
      <c r="F7" s="71" t="s">
        <v>981</v>
      </c>
      <c r="G7" s="71" t="s">
        <v>982</v>
      </c>
      <c r="H7" s="71" t="s">
        <v>983</v>
      </c>
      <c r="I7" s="71" t="s">
        <v>984</v>
      </c>
      <c r="J7" s="71" t="s">
        <v>840</v>
      </c>
      <c r="K7" s="72" t="s">
        <v>985</v>
      </c>
    </row>
    <row r="8" spans="1:11" ht="70.2" customHeight="1">
      <c r="A8" s="69" t="s">
        <v>986</v>
      </c>
      <c r="B8" s="71" t="s">
        <v>987</v>
      </c>
      <c r="C8" s="71" t="s">
        <v>988</v>
      </c>
      <c r="D8" s="71" t="s">
        <v>989</v>
      </c>
      <c r="E8" s="71" t="s">
        <v>990</v>
      </c>
      <c r="F8" s="71" t="s">
        <v>991</v>
      </c>
      <c r="G8" s="71" t="s">
        <v>992</v>
      </c>
      <c r="H8" s="71" t="s">
        <v>993</v>
      </c>
      <c r="I8" s="71" t="s">
        <v>994</v>
      </c>
      <c r="J8" s="71" t="s">
        <v>840</v>
      </c>
      <c r="K8" s="72" t="s">
        <v>841</v>
      </c>
    </row>
    <row r="9" spans="1:11" ht="67.8" customHeight="1">
      <c r="A9" s="69" t="s">
        <v>995</v>
      </c>
      <c r="B9" s="71" t="s">
        <v>996</v>
      </c>
      <c r="C9" s="71" t="s">
        <v>997</v>
      </c>
      <c r="D9" s="71" t="s">
        <v>998</v>
      </c>
      <c r="E9" s="71" t="s">
        <v>999</v>
      </c>
      <c r="F9" s="71" t="s">
        <v>1000</v>
      </c>
      <c r="G9" s="71" t="s">
        <v>1001</v>
      </c>
      <c r="H9" s="71" t="s">
        <v>1002</v>
      </c>
      <c r="I9" s="71" t="s">
        <v>840</v>
      </c>
      <c r="J9" s="71" t="s">
        <v>841</v>
      </c>
      <c r="K9" s="75"/>
    </row>
    <row r="10" spans="1:11" ht="100.2" customHeight="1">
      <c r="A10" s="76" t="s">
        <v>1003</v>
      </c>
      <c r="B10" s="77" t="s">
        <v>1004</v>
      </c>
      <c r="C10" s="77" t="s">
        <v>1005</v>
      </c>
      <c r="D10" s="77" t="s">
        <v>1006</v>
      </c>
      <c r="E10" s="77" t="s">
        <v>1007</v>
      </c>
      <c r="F10" s="77" t="s">
        <v>1008</v>
      </c>
      <c r="G10" s="77" t="s">
        <v>1009</v>
      </c>
      <c r="H10" s="77" t="s">
        <v>1010</v>
      </c>
      <c r="I10" s="77" t="s">
        <v>1011</v>
      </c>
      <c r="J10" s="77" t="s">
        <v>1012</v>
      </c>
      <c r="K10" s="78"/>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K4" xr:uid="{00000000-0009-0000-0000-000006000000}"/>
  <pageMargins left="0.25" right="0.25" top="0.45" bottom="0.45" header="0" footer="0"/>
  <pageSetup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A9D8F"/>
    <pageSetUpPr fitToPage="1"/>
  </sheetPr>
  <dimension ref="A1:F1000"/>
  <sheetViews>
    <sheetView showGridLines="0" workbookViewId="0">
      <pane ySplit="1" topLeftCell="A2" activePane="bottomLeft" state="frozen"/>
      <selection pane="bottomLeft" activeCell="F130" sqref="F130"/>
    </sheetView>
  </sheetViews>
  <sheetFormatPr defaultColWidth="14.44140625" defaultRowHeight="15" customHeight="1"/>
  <cols>
    <col min="1" max="1" width="22" customWidth="1"/>
    <col min="2" max="2" width="60" customWidth="1"/>
    <col min="3" max="3" width="14" customWidth="1"/>
    <col min="4" max="4" width="16" customWidth="1"/>
    <col min="5" max="5" width="34" customWidth="1"/>
    <col min="6" max="6" width="38" customWidth="1"/>
    <col min="7" max="26" width="8.6640625" customWidth="1"/>
  </cols>
  <sheetData>
    <row r="1" spans="1:6" ht="37.5" customHeight="1">
      <c r="A1" s="2" t="s">
        <v>864</v>
      </c>
      <c r="B1" s="2" t="s">
        <v>865</v>
      </c>
      <c r="C1" s="2" t="s">
        <v>866</v>
      </c>
      <c r="D1" s="2" t="s">
        <v>16</v>
      </c>
      <c r="E1" s="2" t="s">
        <v>262</v>
      </c>
      <c r="F1" s="2" t="s">
        <v>17</v>
      </c>
    </row>
    <row r="2" spans="1:6" ht="14.4" customHeight="1">
      <c r="A2" s="5" t="s">
        <v>867</v>
      </c>
      <c r="B2" s="5" t="s">
        <v>868</v>
      </c>
      <c r="C2" s="5" t="s">
        <v>869</v>
      </c>
      <c r="D2" s="7" t="s">
        <v>34</v>
      </c>
      <c r="E2" s="10" t="s">
        <v>870</v>
      </c>
      <c r="F2" s="10"/>
    </row>
    <row r="3" spans="1:6" ht="14.4" customHeight="1">
      <c r="A3" s="5" t="s">
        <v>867</v>
      </c>
      <c r="B3" s="5" t="s">
        <v>871</v>
      </c>
      <c r="C3" s="5" t="s">
        <v>869</v>
      </c>
      <c r="D3" s="7" t="s">
        <v>34</v>
      </c>
      <c r="E3" s="10" t="s">
        <v>872</v>
      </c>
      <c r="F3" s="10"/>
    </row>
    <row r="4" spans="1:6" ht="14.4" customHeight="1">
      <c r="A4" s="5" t="s">
        <v>867</v>
      </c>
      <c r="B4" s="5" t="s">
        <v>873</v>
      </c>
      <c r="C4" s="5" t="s">
        <v>869</v>
      </c>
      <c r="D4" s="7" t="s">
        <v>34</v>
      </c>
      <c r="E4" s="10" t="s">
        <v>622</v>
      </c>
      <c r="F4" s="10"/>
    </row>
    <row r="5" spans="1:6" ht="14.4" customHeight="1">
      <c r="A5" s="5" t="s">
        <v>867</v>
      </c>
      <c r="B5" s="5" t="s">
        <v>874</v>
      </c>
      <c r="C5" s="5" t="s">
        <v>869</v>
      </c>
      <c r="D5" s="7" t="s">
        <v>34</v>
      </c>
      <c r="E5" s="10" t="s">
        <v>553</v>
      </c>
      <c r="F5" s="10"/>
    </row>
    <row r="6" spans="1:6" ht="14.4" customHeight="1">
      <c r="A6" s="5" t="s">
        <v>867</v>
      </c>
      <c r="B6" s="5" t="s">
        <v>875</v>
      </c>
      <c r="C6" s="5" t="s">
        <v>869</v>
      </c>
      <c r="D6" s="7" t="s">
        <v>34</v>
      </c>
      <c r="E6" s="10" t="s">
        <v>572</v>
      </c>
      <c r="F6" s="10"/>
    </row>
    <row r="7" spans="1:6" ht="14.4" customHeight="1">
      <c r="A7" s="5" t="s">
        <v>867</v>
      </c>
      <c r="B7" s="5" t="s">
        <v>876</v>
      </c>
      <c r="C7" s="5" t="s">
        <v>869</v>
      </c>
      <c r="D7" s="7" t="s">
        <v>34</v>
      </c>
      <c r="E7" s="10" t="s">
        <v>877</v>
      </c>
      <c r="F7" s="10"/>
    </row>
    <row r="8" spans="1:6" ht="14.4" customHeight="1">
      <c r="A8" s="5" t="s">
        <v>867</v>
      </c>
      <c r="B8" s="5" t="s">
        <v>878</v>
      </c>
      <c r="C8" s="5" t="s">
        <v>869</v>
      </c>
      <c r="D8" s="7" t="s">
        <v>34</v>
      </c>
      <c r="E8" s="10" t="s">
        <v>572</v>
      </c>
      <c r="F8" s="10"/>
    </row>
    <row r="9" spans="1:6" ht="14.4" customHeight="1">
      <c r="A9" s="5" t="s">
        <v>867</v>
      </c>
      <c r="B9" s="5" t="s">
        <v>879</v>
      </c>
      <c r="C9" s="5" t="s">
        <v>869</v>
      </c>
      <c r="D9" s="7" t="s">
        <v>34</v>
      </c>
      <c r="E9" s="10" t="s">
        <v>880</v>
      </c>
      <c r="F9" s="10"/>
    </row>
    <row r="10" spans="1:6" ht="14.4" customHeight="1">
      <c r="A10" s="5" t="s">
        <v>867</v>
      </c>
      <c r="B10" s="5" t="s">
        <v>881</v>
      </c>
      <c r="C10" s="5" t="s">
        <v>869</v>
      </c>
      <c r="D10" s="7" t="s">
        <v>34</v>
      </c>
      <c r="E10" s="10" t="s">
        <v>882</v>
      </c>
      <c r="F10" s="10"/>
    </row>
    <row r="11" spans="1:6" ht="14.4" customHeight="1">
      <c r="A11" s="5" t="s">
        <v>867</v>
      </c>
      <c r="B11" s="5" t="s">
        <v>883</v>
      </c>
      <c r="C11" s="5" t="s">
        <v>869</v>
      </c>
      <c r="D11" s="7" t="s">
        <v>34</v>
      </c>
      <c r="E11" s="10" t="s">
        <v>884</v>
      </c>
      <c r="F11" s="10"/>
    </row>
    <row r="12" spans="1:6" ht="14.4" customHeight="1">
      <c r="A12" s="5" t="s">
        <v>867</v>
      </c>
      <c r="B12" s="5" t="s">
        <v>435</v>
      </c>
      <c r="C12" s="5" t="s">
        <v>869</v>
      </c>
      <c r="D12" s="7" t="s">
        <v>34</v>
      </c>
      <c r="E12" s="10" t="s">
        <v>588</v>
      </c>
      <c r="F12" s="10"/>
    </row>
    <row r="13" spans="1:6" ht="14.4" customHeight="1">
      <c r="A13" s="5" t="s">
        <v>867</v>
      </c>
      <c r="B13" s="5" t="s">
        <v>885</v>
      </c>
      <c r="C13" s="5" t="s">
        <v>869</v>
      </c>
      <c r="D13" s="7" t="s">
        <v>34</v>
      </c>
      <c r="E13" s="10" t="s">
        <v>588</v>
      </c>
      <c r="F13" s="10"/>
    </row>
    <row r="14" spans="1:6" ht="14.4" customHeight="1">
      <c r="A14" s="5" t="s">
        <v>867</v>
      </c>
      <c r="B14" s="5" t="s">
        <v>886</v>
      </c>
      <c r="C14" s="5" t="s">
        <v>869</v>
      </c>
      <c r="D14" s="7" t="s">
        <v>34</v>
      </c>
      <c r="E14" s="10" t="s">
        <v>588</v>
      </c>
      <c r="F14" s="10"/>
    </row>
    <row r="15" spans="1:6" ht="14.4" customHeight="1">
      <c r="A15" s="5" t="s">
        <v>867</v>
      </c>
      <c r="B15" s="5" t="s">
        <v>887</v>
      </c>
      <c r="C15" s="5" t="s">
        <v>869</v>
      </c>
      <c r="D15" s="7" t="s">
        <v>34</v>
      </c>
      <c r="E15" s="10" t="s">
        <v>650</v>
      </c>
      <c r="F15" s="10"/>
    </row>
    <row r="16" spans="1:6" ht="14.4" customHeight="1">
      <c r="A16" s="5" t="s">
        <v>867</v>
      </c>
      <c r="B16" s="5" t="s">
        <v>123</v>
      </c>
      <c r="C16" s="5" t="s">
        <v>869</v>
      </c>
      <c r="D16" s="7" t="s">
        <v>34</v>
      </c>
      <c r="E16" s="10" t="s">
        <v>888</v>
      </c>
      <c r="F16" s="10"/>
    </row>
    <row r="17" spans="1:6" ht="14.4" customHeight="1">
      <c r="A17" s="5" t="s">
        <v>867</v>
      </c>
      <c r="B17" s="5" t="s">
        <v>889</v>
      </c>
      <c r="C17" s="5" t="s">
        <v>869</v>
      </c>
      <c r="D17" s="7" t="s">
        <v>34</v>
      </c>
      <c r="E17" s="10" t="s">
        <v>657</v>
      </c>
      <c r="F17" s="10"/>
    </row>
    <row r="18" spans="1:6" ht="14.4" customHeight="1">
      <c r="A18" s="5" t="s">
        <v>890</v>
      </c>
      <c r="B18" s="5" t="s">
        <v>891</v>
      </c>
      <c r="C18" s="5" t="s">
        <v>869</v>
      </c>
      <c r="D18" s="7" t="s">
        <v>34</v>
      </c>
      <c r="E18" s="10" t="s">
        <v>892</v>
      </c>
      <c r="F18" s="10"/>
    </row>
    <row r="19" spans="1:6" ht="14.4" customHeight="1">
      <c r="A19" s="5" t="s">
        <v>890</v>
      </c>
      <c r="B19" s="5" t="s">
        <v>893</v>
      </c>
      <c r="C19" s="5" t="s">
        <v>869</v>
      </c>
      <c r="D19" s="7" t="s">
        <v>34</v>
      </c>
      <c r="E19" s="10" t="s">
        <v>894</v>
      </c>
      <c r="F19" s="10"/>
    </row>
    <row r="20" spans="1:6" ht="14.4" customHeight="1">
      <c r="A20" s="5" t="s">
        <v>890</v>
      </c>
      <c r="B20" s="5" t="s">
        <v>895</v>
      </c>
      <c r="C20" s="5" t="s">
        <v>869</v>
      </c>
      <c r="D20" s="7" t="s">
        <v>34</v>
      </c>
      <c r="E20" s="10" t="s">
        <v>896</v>
      </c>
      <c r="F20" s="10"/>
    </row>
    <row r="21" spans="1:6" ht="15.75" customHeight="1">
      <c r="A21" s="5" t="s">
        <v>890</v>
      </c>
      <c r="B21" s="5" t="s">
        <v>897</v>
      </c>
      <c r="C21" s="5" t="s">
        <v>869</v>
      </c>
      <c r="D21" s="7" t="s">
        <v>34</v>
      </c>
      <c r="E21" s="10" t="s">
        <v>898</v>
      </c>
      <c r="F21" s="10"/>
    </row>
    <row r="22" spans="1:6" ht="15.75" customHeight="1">
      <c r="A22" s="5" t="s">
        <v>890</v>
      </c>
      <c r="B22" s="5" t="s">
        <v>899</v>
      </c>
      <c r="C22" s="5" t="s">
        <v>869</v>
      </c>
      <c r="D22" s="7" t="s">
        <v>34</v>
      </c>
      <c r="E22" s="10" t="s">
        <v>900</v>
      </c>
      <c r="F22" s="10"/>
    </row>
    <row r="23" spans="1:6" ht="15.75" customHeight="1">
      <c r="A23" s="5" t="s">
        <v>890</v>
      </c>
      <c r="B23" s="5" t="s">
        <v>901</v>
      </c>
      <c r="C23" s="5" t="s">
        <v>869</v>
      </c>
      <c r="D23" s="7" t="s">
        <v>34</v>
      </c>
      <c r="E23" s="10" t="s">
        <v>902</v>
      </c>
      <c r="F23" s="10"/>
    </row>
    <row r="24" spans="1:6" ht="15.75" customHeight="1">
      <c r="A24" s="5" t="s">
        <v>890</v>
      </c>
      <c r="B24" s="5" t="s">
        <v>903</v>
      </c>
      <c r="C24" s="5" t="s">
        <v>869</v>
      </c>
      <c r="D24" s="7" t="s">
        <v>34</v>
      </c>
      <c r="E24" s="10" t="s">
        <v>904</v>
      </c>
      <c r="F24" s="10"/>
    </row>
    <row r="25" spans="1:6" ht="15.75" customHeight="1">
      <c r="A25" s="5" t="s">
        <v>905</v>
      </c>
      <c r="B25" s="5" t="s">
        <v>906</v>
      </c>
      <c r="C25" s="5" t="s">
        <v>869</v>
      </c>
      <c r="D25" s="7" t="s">
        <v>34</v>
      </c>
      <c r="E25" s="10" t="s">
        <v>566</v>
      </c>
      <c r="F25" s="10"/>
    </row>
    <row r="26" spans="1:6" ht="15.75" customHeight="1">
      <c r="A26" s="5" t="s">
        <v>905</v>
      </c>
      <c r="B26" s="5" t="s">
        <v>907</v>
      </c>
      <c r="C26" s="5" t="s">
        <v>869</v>
      </c>
      <c r="D26" s="7" t="s">
        <v>34</v>
      </c>
      <c r="E26" s="10" t="s">
        <v>908</v>
      </c>
      <c r="F26" s="10"/>
    </row>
    <row r="27" spans="1:6" ht="15.75" customHeight="1">
      <c r="A27" s="5" t="s">
        <v>905</v>
      </c>
      <c r="B27" s="5" t="s">
        <v>909</v>
      </c>
      <c r="C27" s="5" t="s">
        <v>869</v>
      </c>
      <c r="D27" s="7" t="s">
        <v>34</v>
      </c>
      <c r="E27" s="10" t="s">
        <v>588</v>
      </c>
      <c r="F27" s="10"/>
    </row>
    <row r="28" spans="1:6" ht="15.75" customHeight="1">
      <c r="A28" s="5" t="s">
        <v>905</v>
      </c>
      <c r="B28" s="5" t="s">
        <v>910</v>
      </c>
      <c r="C28" s="5" t="s">
        <v>869</v>
      </c>
      <c r="D28" s="7" t="s">
        <v>34</v>
      </c>
      <c r="E28" s="10" t="s">
        <v>622</v>
      </c>
      <c r="F28" s="10"/>
    </row>
    <row r="29" spans="1:6" ht="15.75" customHeight="1">
      <c r="A29" s="5" t="s">
        <v>905</v>
      </c>
      <c r="B29" s="5" t="s">
        <v>911</v>
      </c>
      <c r="C29" s="5" t="s">
        <v>869</v>
      </c>
      <c r="D29" s="7" t="s">
        <v>34</v>
      </c>
      <c r="E29" s="10" t="s">
        <v>912</v>
      </c>
      <c r="F29" s="10"/>
    </row>
    <row r="30" spans="1:6" ht="15.75" customHeight="1">
      <c r="A30" s="5" t="s">
        <v>905</v>
      </c>
      <c r="B30" s="5" t="s">
        <v>913</v>
      </c>
      <c r="C30" s="5" t="s">
        <v>869</v>
      </c>
      <c r="D30" s="7" t="s">
        <v>34</v>
      </c>
      <c r="E30" s="10" t="s">
        <v>588</v>
      </c>
      <c r="F30" s="10"/>
    </row>
    <row r="31" spans="1:6" ht="15.75" customHeight="1">
      <c r="A31" s="5" t="s">
        <v>905</v>
      </c>
      <c r="B31" s="5" t="s">
        <v>914</v>
      </c>
      <c r="C31" s="5" t="s">
        <v>869</v>
      </c>
      <c r="D31" s="7" t="s">
        <v>34</v>
      </c>
      <c r="E31" s="10" t="s">
        <v>915</v>
      </c>
      <c r="F31" s="10"/>
    </row>
    <row r="32" spans="1:6" ht="15.75" customHeight="1">
      <c r="A32" s="5" t="s">
        <v>905</v>
      </c>
      <c r="B32" s="5" t="s">
        <v>916</v>
      </c>
      <c r="C32" s="5" t="s">
        <v>869</v>
      </c>
      <c r="D32" s="7" t="s">
        <v>34</v>
      </c>
      <c r="E32" s="10" t="s">
        <v>917</v>
      </c>
      <c r="F32" s="10"/>
    </row>
    <row r="33" spans="1:6" ht="15.75" customHeight="1">
      <c r="A33" s="5" t="s">
        <v>905</v>
      </c>
      <c r="B33" s="5" t="s">
        <v>918</v>
      </c>
      <c r="C33" s="5" t="s">
        <v>869</v>
      </c>
      <c r="D33" s="7" t="s">
        <v>34</v>
      </c>
      <c r="E33" s="10" t="s">
        <v>902</v>
      </c>
      <c r="F33" s="10"/>
    </row>
    <row r="34" spans="1:6" ht="15.75" customHeight="1">
      <c r="A34" s="5" t="s">
        <v>919</v>
      </c>
      <c r="B34" s="5" t="s">
        <v>920</v>
      </c>
      <c r="C34" s="5" t="s">
        <v>869</v>
      </c>
      <c r="D34" s="7" t="s">
        <v>34</v>
      </c>
      <c r="E34" s="10" t="s">
        <v>921</v>
      </c>
      <c r="F34" s="10"/>
    </row>
    <row r="35" spans="1:6" ht="15.75" customHeight="1">
      <c r="A35" s="5" t="s">
        <v>919</v>
      </c>
      <c r="B35" s="5" t="s">
        <v>922</v>
      </c>
      <c r="C35" s="5" t="s">
        <v>869</v>
      </c>
      <c r="D35" s="7" t="s">
        <v>34</v>
      </c>
      <c r="E35" s="10" t="s">
        <v>923</v>
      </c>
      <c r="F35" s="10"/>
    </row>
    <row r="36" spans="1:6" ht="15.75" customHeight="1">
      <c r="A36" s="5" t="s">
        <v>919</v>
      </c>
      <c r="B36" s="5" t="s">
        <v>924</v>
      </c>
      <c r="C36" s="5" t="s">
        <v>869</v>
      </c>
      <c r="D36" s="7" t="s">
        <v>34</v>
      </c>
      <c r="E36" s="10" t="s">
        <v>925</v>
      </c>
      <c r="F36" s="10"/>
    </row>
    <row r="37" spans="1:6" ht="15.75" customHeight="1">
      <c r="A37" s="5" t="s">
        <v>919</v>
      </c>
      <c r="B37" s="5" t="s">
        <v>926</v>
      </c>
      <c r="C37" s="5" t="s">
        <v>869</v>
      </c>
      <c r="D37" s="7" t="s">
        <v>34</v>
      </c>
      <c r="E37" s="10" t="s">
        <v>927</v>
      </c>
      <c r="F37" s="10"/>
    </row>
    <row r="38" spans="1:6" ht="15.75" customHeight="1">
      <c r="A38" s="5" t="s">
        <v>919</v>
      </c>
      <c r="B38" s="5" t="s">
        <v>928</v>
      </c>
      <c r="C38" s="5" t="s">
        <v>869</v>
      </c>
      <c r="D38" s="7" t="s">
        <v>34</v>
      </c>
      <c r="E38" s="10" t="s">
        <v>917</v>
      </c>
      <c r="F38" s="10"/>
    </row>
    <row r="39" spans="1:6" ht="15.75" customHeight="1">
      <c r="A39" s="5" t="s">
        <v>919</v>
      </c>
      <c r="B39" s="5" t="s">
        <v>929</v>
      </c>
      <c r="C39" s="5" t="s">
        <v>869</v>
      </c>
      <c r="D39" s="7" t="s">
        <v>34</v>
      </c>
      <c r="E39" s="10" t="s">
        <v>930</v>
      </c>
      <c r="F39" s="10"/>
    </row>
    <row r="40" spans="1:6" ht="15.75" customHeight="1">
      <c r="D40" s="16"/>
    </row>
    <row r="41" spans="1:6" ht="15.75" customHeight="1">
      <c r="D41" s="16"/>
    </row>
    <row r="42" spans="1:6" ht="15.75" customHeight="1">
      <c r="D42" s="16"/>
    </row>
    <row r="43" spans="1:6" ht="15.75" customHeight="1">
      <c r="D43" s="16"/>
    </row>
    <row r="44" spans="1:6" ht="15.75" customHeight="1">
      <c r="D44" s="16"/>
    </row>
    <row r="45" spans="1:6" ht="15.75" customHeight="1">
      <c r="D45" s="16"/>
    </row>
    <row r="46" spans="1:6" ht="15.75" customHeight="1">
      <c r="D46" s="16"/>
    </row>
    <row r="47" spans="1:6" ht="15.75" customHeight="1">
      <c r="D47" s="16"/>
    </row>
    <row r="48" spans="1:6" ht="15.75" customHeight="1">
      <c r="D48" s="16"/>
    </row>
    <row r="49" spans="4:4" ht="15.75" customHeight="1">
      <c r="D49" s="16"/>
    </row>
    <row r="50" spans="4:4" ht="15.75" customHeight="1">
      <c r="D50" s="16"/>
    </row>
    <row r="51" spans="4:4" ht="15.75" customHeight="1">
      <c r="D51" s="16"/>
    </row>
    <row r="52" spans="4:4" ht="15.75" customHeight="1">
      <c r="D52" s="16"/>
    </row>
    <row r="53" spans="4:4" ht="15.75" customHeight="1">
      <c r="D53" s="16"/>
    </row>
    <row r="54" spans="4:4" ht="15.75" customHeight="1">
      <c r="D54" s="16"/>
    </row>
    <row r="55" spans="4:4" ht="15.75" customHeight="1">
      <c r="D55" s="16"/>
    </row>
    <row r="56" spans="4:4" ht="15.75" customHeight="1">
      <c r="D56" s="16"/>
    </row>
    <row r="57" spans="4:4" ht="15.75" customHeight="1">
      <c r="D57" s="16"/>
    </row>
    <row r="58" spans="4:4" ht="15.75" customHeight="1">
      <c r="D58" s="16"/>
    </row>
    <row r="59" spans="4:4" ht="15.75" customHeight="1">
      <c r="D59" s="16"/>
    </row>
    <row r="60" spans="4:4" ht="15.75" customHeight="1">
      <c r="D60" s="16"/>
    </row>
    <row r="61" spans="4:4" ht="15.75" customHeight="1">
      <c r="D61" s="16"/>
    </row>
    <row r="62" spans="4:4" ht="15.75" customHeight="1">
      <c r="D62" s="16"/>
    </row>
    <row r="63" spans="4:4" ht="15.75" customHeight="1">
      <c r="D63" s="16"/>
    </row>
    <row r="64" spans="4:4" ht="15.75" customHeight="1">
      <c r="D64" s="16"/>
    </row>
    <row r="65" spans="4:4" ht="15.75" customHeight="1">
      <c r="D65" s="16"/>
    </row>
    <row r="66" spans="4:4" ht="15.75" customHeight="1">
      <c r="D66" s="16"/>
    </row>
    <row r="67" spans="4:4" ht="15.75" customHeight="1">
      <c r="D67" s="16"/>
    </row>
    <row r="68" spans="4:4" ht="15.75" customHeight="1">
      <c r="D68" s="16"/>
    </row>
    <row r="69" spans="4:4" ht="15.75" customHeight="1">
      <c r="D69" s="16"/>
    </row>
    <row r="70" spans="4:4" ht="15.75" customHeight="1">
      <c r="D70" s="16"/>
    </row>
    <row r="71" spans="4:4" ht="15.75" customHeight="1">
      <c r="D71" s="16"/>
    </row>
    <row r="72" spans="4:4" ht="15.75" customHeight="1">
      <c r="D72" s="16"/>
    </row>
    <row r="73" spans="4:4" ht="15.75" customHeight="1">
      <c r="D73" s="16"/>
    </row>
    <row r="74" spans="4:4" ht="15.75" customHeight="1">
      <c r="D74" s="16"/>
    </row>
    <row r="75" spans="4:4" ht="15.75" customHeight="1">
      <c r="D75" s="16"/>
    </row>
    <row r="76" spans="4:4" ht="15.75" customHeight="1">
      <c r="D76" s="16"/>
    </row>
    <row r="77" spans="4:4" ht="15.75" customHeight="1">
      <c r="D77" s="16"/>
    </row>
    <row r="78" spans="4:4" ht="15.75" customHeight="1">
      <c r="D78" s="16"/>
    </row>
    <row r="79" spans="4:4" ht="15.75" customHeight="1">
      <c r="D79" s="16"/>
    </row>
    <row r="80" spans="4:4" ht="15.75" customHeight="1">
      <c r="D80" s="16"/>
    </row>
    <row r="81" spans="4:4" ht="15.75" customHeight="1">
      <c r="D81" s="16"/>
    </row>
    <row r="82" spans="4:4" ht="15.75" customHeight="1">
      <c r="D82" s="16"/>
    </row>
    <row r="83" spans="4:4" ht="15.75" customHeight="1">
      <c r="D83" s="16"/>
    </row>
    <row r="84" spans="4:4" ht="15.75" customHeight="1">
      <c r="D84" s="16"/>
    </row>
    <row r="85" spans="4:4" ht="15.75" customHeight="1">
      <c r="D85" s="16"/>
    </row>
    <row r="86" spans="4:4" ht="15.75" customHeight="1">
      <c r="D86" s="16"/>
    </row>
    <row r="87" spans="4:4" ht="15.75" customHeight="1">
      <c r="D87" s="16"/>
    </row>
    <row r="88" spans="4:4" ht="15.75" customHeight="1">
      <c r="D88" s="16"/>
    </row>
    <row r="89" spans="4:4" ht="15.75" customHeight="1">
      <c r="D89" s="16"/>
    </row>
    <row r="90" spans="4:4" ht="15.75" customHeight="1">
      <c r="D90" s="16"/>
    </row>
    <row r="91" spans="4:4" ht="15.75" customHeight="1">
      <c r="D91" s="16"/>
    </row>
    <row r="92" spans="4:4" ht="15.75" customHeight="1">
      <c r="D92" s="16"/>
    </row>
    <row r="93" spans="4:4" ht="15.75" customHeight="1">
      <c r="D93" s="16"/>
    </row>
    <row r="94" spans="4:4" ht="15.75" customHeight="1">
      <c r="D94" s="16"/>
    </row>
    <row r="95" spans="4:4" ht="15.75" customHeight="1">
      <c r="D95" s="16"/>
    </row>
    <row r="96" spans="4:4" ht="15.75" customHeight="1">
      <c r="D96" s="16"/>
    </row>
    <row r="97" spans="4:4" ht="15.75" customHeight="1">
      <c r="D97" s="16"/>
    </row>
    <row r="98" spans="4:4" ht="15.75" customHeight="1">
      <c r="D98" s="16"/>
    </row>
    <row r="99" spans="4:4" ht="15.75" customHeight="1">
      <c r="D99" s="16"/>
    </row>
    <row r="100" spans="4:4" ht="15.75" customHeight="1">
      <c r="D100" s="16"/>
    </row>
    <row r="101" spans="4:4" ht="15.75" customHeight="1">
      <c r="D101" s="16"/>
    </row>
    <row r="102" spans="4:4" ht="15.75" customHeight="1">
      <c r="D102" s="16"/>
    </row>
    <row r="103" spans="4:4" ht="15.75" customHeight="1">
      <c r="D103" s="16"/>
    </row>
    <row r="104" spans="4:4" ht="15.75" customHeight="1">
      <c r="D104" s="16"/>
    </row>
    <row r="105" spans="4:4" ht="15.75" customHeight="1">
      <c r="D105" s="16"/>
    </row>
    <row r="106" spans="4:4" ht="15.75" customHeight="1">
      <c r="D106" s="16"/>
    </row>
    <row r="107" spans="4:4" ht="15.75" customHeight="1">
      <c r="D107" s="16"/>
    </row>
    <row r="108" spans="4:4" ht="15.75" customHeight="1">
      <c r="D108" s="16"/>
    </row>
    <row r="109" spans="4:4" ht="15.75" customHeight="1">
      <c r="D109" s="16"/>
    </row>
    <row r="110" spans="4:4" ht="15.75" customHeight="1">
      <c r="D110" s="16"/>
    </row>
    <row r="111" spans="4:4" ht="15.75" customHeight="1">
      <c r="D111" s="16"/>
    </row>
    <row r="112" spans="4:4" ht="15.75" customHeight="1">
      <c r="D112" s="16"/>
    </row>
    <row r="113" spans="4:4" ht="15.75" customHeight="1">
      <c r="D113" s="16"/>
    </row>
    <row r="114" spans="4:4" ht="15.75" customHeight="1">
      <c r="D114" s="16"/>
    </row>
    <row r="115" spans="4:4" ht="15.75" customHeight="1">
      <c r="D115" s="16"/>
    </row>
    <row r="116" spans="4:4" ht="15.75" customHeight="1">
      <c r="D116" s="16"/>
    </row>
    <row r="117" spans="4:4" ht="15.75" customHeight="1">
      <c r="D117" s="16"/>
    </row>
    <row r="118" spans="4:4" ht="15.75" customHeight="1">
      <c r="D118" s="16"/>
    </row>
    <row r="119" spans="4:4" ht="15.75" customHeight="1">
      <c r="D119" s="16"/>
    </row>
    <row r="120" spans="4:4" ht="15.75" customHeight="1">
      <c r="D120" s="16"/>
    </row>
    <row r="121" spans="4:4" ht="15.75" customHeight="1">
      <c r="D121" s="16"/>
    </row>
    <row r="122" spans="4:4" ht="15.75" customHeight="1">
      <c r="D122" s="16"/>
    </row>
    <row r="123" spans="4:4" ht="15.75" customHeight="1">
      <c r="D123" s="16"/>
    </row>
    <row r="124" spans="4:4" ht="15.75" customHeight="1">
      <c r="D124" s="16"/>
    </row>
    <row r="125" spans="4:4" ht="15.75" customHeight="1">
      <c r="D125" s="16"/>
    </row>
    <row r="126" spans="4:4" ht="15.75" customHeight="1">
      <c r="D126" s="16"/>
    </row>
    <row r="127" spans="4:4" ht="15.75" customHeight="1">
      <c r="D127" s="16"/>
    </row>
    <row r="128" spans="4:4" ht="15.75" customHeight="1">
      <c r="D128" s="16"/>
    </row>
    <row r="129" spans="4:4" ht="15.75" customHeight="1">
      <c r="D129" s="16"/>
    </row>
    <row r="130" spans="4:4" ht="15.75" customHeight="1">
      <c r="D130" s="16"/>
    </row>
    <row r="131" spans="4:4" ht="15.75" customHeight="1">
      <c r="D131" s="16"/>
    </row>
    <row r="132" spans="4:4" ht="15.75" customHeight="1">
      <c r="D132" s="16"/>
    </row>
    <row r="133" spans="4:4" ht="15.75" customHeight="1">
      <c r="D133" s="16"/>
    </row>
    <row r="134" spans="4:4" ht="15.75" customHeight="1">
      <c r="D134" s="16"/>
    </row>
    <row r="135" spans="4:4" ht="15.75" customHeight="1">
      <c r="D135" s="16"/>
    </row>
    <row r="136" spans="4:4" ht="15.75" customHeight="1">
      <c r="D136" s="16"/>
    </row>
    <row r="137" spans="4:4" ht="15.75" customHeight="1">
      <c r="D137" s="16"/>
    </row>
    <row r="138" spans="4:4" ht="15.75" customHeight="1">
      <c r="D138" s="16"/>
    </row>
    <row r="139" spans="4:4" ht="15.75" customHeight="1">
      <c r="D139" s="16"/>
    </row>
    <row r="140" spans="4:4" ht="15.75" customHeight="1">
      <c r="D140" s="16"/>
    </row>
    <row r="141" spans="4:4" ht="15.75" customHeight="1">
      <c r="D141" s="16"/>
    </row>
    <row r="142" spans="4:4" ht="15.75" customHeight="1">
      <c r="D142" s="16"/>
    </row>
    <row r="143" spans="4:4" ht="15.75" customHeight="1">
      <c r="D143" s="16"/>
    </row>
    <row r="144" spans="4:4" ht="15.75" customHeight="1">
      <c r="D144" s="16"/>
    </row>
    <row r="145" spans="4:4" ht="15.75" customHeight="1">
      <c r="D145" s="16"/>
    </row>
    <row r="146" spans="4:4" ht="15.75" customHeight="1">
      <c r="D146" s="16"/>
    </row>
    <row r="147" spans="4:4" ht="15.75" customHeight="1">
      <c r="D147" s="16"/>
    </row>
    <row r="148" spans="4:4" ht="15.75" customHeight="1">
      <c r="D148" s="16"/>
    </row>
    <row r="149" spans="4:4" ht="15.75" customHeight="1">
      <c r="D149" s="16"/>
    </row>
    <row r="150" spans="4:4" ht="15.75" customHeight="1">
      <c r="D150" s="16"/>
    </row>
    <row r="151" spans="4:4" ht="15.75" customHeight="1">
      <c r="D151" s="16"/>
    </row>
    <row r="152" spans="4:4" ht="15.75" customHeight="1">
      <c r="D152" s="16"/>
    </row>
    <row r="153" spans="4:4" ht="15.75" customHeight="1">
      <c r="D153" s="16"/>
    </row>
    <row r="154" spans="4:4" ht="15.75" customHeight="1">
      <c r="D154" s="16"/>
    </row>
    <row r="155" spans="4:4" ht="15.75" customHeight="1">
      <c r="D155" s="16"/>
    </row>
    <row r="156" spans="4:4" ht="15.75" customHeight="1">
      <c r="D156" s="16"/>
    </row>
    <row r="157" spans="4:4" ht="15.75" customHeight="1">
      <c r="D157" s="16"/>
    </row>
    <row r="158" spans="4:4" ht="15.75" customHeight="1">
      <c r="D158" s="16"/>
    </row>
    <row r="159" spans="4:4" ht="15.75" customHeight="1">
      <c r="D159" s="16"/>
    </row>
    <row r="160" spans="4:4" ht="15.75" customHeight="1">
      <c r="D160" s="16"/>
    </row>
    <row r="161" spans="4:4" ht="15.75" customHeight="1">
      <c r="D161" s="16"/>
    </row>
    <row r="162" spans="4:4" ht="15.75" customHeight="1">
      <c r="D162" s="16"/>
    </row>
    <row r="163" spans="4:4" ht="15.75" customHeight="1">
      <c r="D163" s="16"/>
    </row>
    <row r="164" spans="4:4" ht="15.75" customHeight="1">
      <c r="D164" s="16"/>
    </row>
    <row r="165" spans="4:4" ht="15.75" customHeight="1">
      <c r="D165" s="16"/>
    </row>
    <row r="166" spans="4:4" ht="15.75" customHeight="1">
      <c r="D166" s="16"/>
    </row>
    <row r="167" spans="4:4" ht="15.75" customHeight="1">
      <c r="D167" s="16"/>
    </row>
    <row r="168" spans="4:4" ht="15.75" customHeight="1">
      <c r="D168" s="16"/>
    </row>
    <row r="169" spans="4:4" ht="15.75" customHeight="1">
      <c r="D169" s="16"/>
    </row>
    <row r="170" spans="4:4" ht="15.75" customHeight="1">
      <c r="D170" s="16"/>
    </row>
    <row r="171" spans="4:4" ht="15.75" customHeight="1">
      <c r="D171" s="16"/>
    </row>
    <row r="172" spans="4:4" ht="15.75" customHeight="1">
      <c r="D172" s="16"/>
    </row>
    <row r="173" spans="4:4" ht="15.75" customHeight="1">
      <c r="D173" s="16"/>
    </row>
    <row r="174" spans="4:4" ht="15.75" customHeight="1">
      <c r="D174" s="16"/>
    </row>
    <row r="175" spans="4:4" ht="15.75" customHeight="1">
      <c r="D175" s="16"/>
    </row>
    <row r="176" spans="4:4" ht="15.75" customHeight="1">
      <c r="D176" s="16"/>
    </row>
    <row r="177" spans="4:4" ht="15.75" customHeight="1">
      <c r="D177" s="16"/>
    </row>
    <row r="178" spans="4:4" ht="15.75" customHeight="1">
      <c r="D178" s="16"/>
    </row>
    <row r="179" spans="4:4" ht="15.75" customHeight="1">
      <c r="D179" s="16"/>
    </row>
    <row r="180" spans="4:4" ht="15.75" customHeight="1">
      <c r="D180" s="16"/>
    </row>
    <row r="181" spans="4:4" ht="15.75" customHeight="1">
      <c r="D181" s="16"/>
    </row>
    <row r="182" spans="4:4" ht="15.75" customHeight="1">
      <c r="D182" s="16"/>
    </row>
    <row r="183" spans="4:4" ht="15.75" customHeight="1">
      <c r="D183" s="16"/>
    </row>
    <row r="184" spans="4:4" ht="15.75" customHeight="1">
      <c r="D184" s="16"/>
    </row>
    <row r="185" spans="4:4" ht="15.75" customHeight="1">
      <c r="D185" s="16"/>
    </row>
    <row r="186" spans="4:4" ht="15.75" customHeight="1">
      <c r="D186" s="16"/>
    </row>
    <row r="187" spans="4:4" ht="15.75" customHeight="1">
      <c r="D187" s="16"/>
    </row>
    <row r="188" spans="4:4" ht="15.75" customHeight="1">
      <c r="D188" s="16"/>
    </row>
    <row r="189" spans="4:4" ht="15.75" customHeight="1">
      <c r="D189" s="16"/>
    </row>
    <row r="190" spans="4:4" ht="15.75" customHeight="1">
      <c r="D190" s="16"/>
    </row>
    <row r="191" spans="4:4" ht="15.75" customHeight="1">
      <c r="D191" s="16"/>
    </row>
    <row r="192" spans="4:4" ht="15.75" customHeight="1">
      <c r="D192" s="16"/>
    </row>
    <row r="193" spans="4:4" ht="15.75" customHeight="1">
      <c r="D193" s="16"/>
    </row>
    <row r="194" spans="4:4" ht="15.75" customHeight="1">
      <c r="D194" s="16"/>
    </row>
    <row r="195" spans="4:4" ht="15.75" customHeight="1">
      <c r="D195" s="16"/>
    </row>
    <row r="196" spans="4:4" ht="15.75" customHeight="1">
      <c r="D196" s="16"/>
    </row>
    <row r="197" spans="4:4" ht="15.75" customHeight="1">
      <c r="D197" s="16"/>
    </row>
    <row r="198" spans="4:4" ht="15.75" customHeight="1">
      <c r="D198" s="16"/>
    </row>
    <row r="199" spans="4:4" ht="15.75" customHeight="1">
      <c r="D199" s="16"/>
    </row>
    <row r="200" spans="4:4" ht="15.75" customHeight="1">
      <c r="D200" s="16"/>
    </row>
    <row r="201" spans="4:4" ht="15.75" customHeight="1">
      <c r="D201" s="16"/>
    </row>
    <row r="202" spans="4:4" ht="15.75" customHeight="1">
      <c r="D202" s="16"/>
    </row>
    <row r="203" spans="4:4" ht="15.75" customHeight="1">
      <c r="D203" s="16"/>
    </row>
    <row r="204" spans="4:4" ht="15.75" customHeight="1">
      <c r="D204" s="16"/>
    </row>
    <row r="205" spans="4:4" ht="15.75" customHeight="1">
      <c r="D205" s="16"/>
    </row>
    <row r="206" spans="4:4" ht="15.75" customHeight="1">
      <c r="D206" s="16"/>
    </row>
    <row r="207" spans="4:4" ht="15.75" customHeight="1">
      <c r="D207" s="16"/>
    </row>
    <row r="208" spans="4:4" ht="15.75" customHeight="1">
      <c r="D208" s="16"/>
    </row>
    <row r="209" spans="4:4" ht="15.75" customHeight="1">
      <c r="D209" s="16"/>
    </row>
    <row r="210" spans="4:4" ht="15.75" customHeight="1">
      <c r="D210" s="16"/>
    </row>
    <row r="211" spans="4:4" ht="15.75" customHeight="1">
      <c r="D211" s="16"/>
    </row>
    <row r="212" spans="4:4" ht="15.75" customHeight="1">
      <c r="D212" s="16"/>
    </row>
    <row r="213" spans="4:4" ht="15.75" customHeight="1">
      <c r="D213" s="16"/>
    </row>
    <row r="214" spans="4:4" ht="15.75" customHeight="1">
      <c r="D214" s="16"/>
    </row>
    <row r="215" spans="4:4" ht="15.75" customHeight="1">
      <c r="D215" s="16"/>
    </row>
    <row r="216" spans="4:4" ht="15.75" customHeight="1">
      <c r="D216" s="16"/>
    </row>
    <row r="217" spans="4:4" ht="15.75" customHeight="1">
      <c r="D217" s="16"/>
    </row>
    <row r="218" spans="4:4" ht="15.75" customHeight="1">
      <c r="D218" s="16"/>
    </row>
    <row r="219" spans="4:4" ht="15.75" customHeight="1">
      <c r="D219" s="16"/>
    </row>
    <row r="220" spans="4:4" ht="15.75" customHeight="1">
      <c r="D220" s="16"/>
    </row>
    <row r="221" spans="4:4" ht="15.75" customHeight="1">
      <c r="D221" s="16"/>
    </row>
    <row r="222" spans="4:4" ht="15.75" customHeight="1">
      <c r="D222" s="16"/>
    </row>
    <row r="223" spans="4:4" ht="15.75" customHeight="1">
      <c r="D223" s="16"/>
    </row>
    <row r="224" spans="4:4" ht="15.75" customHeight="1">
      <c r="D224" s="16"/>
    </row>
    <row r="225" spans="4:4" ht="15.75" customHeight="1">
      <c r="D225" s="16"/>
    </row>
    <row r="226" spans="4:4" ht="15.75" customHeight="1">
      <c r="D226" s="16"/>
    </row>
    <row r="227" spans="4:4" ht="15.75" customHeight="1">
      <c r="D227" s="16"/>
    </row>
    <row r="228" spans="4:4" ht="15.75" customHeight="1">
      <c r="D228" s="16"/>
    </row>
    <row r="229" spans="4:4" ht="15.75" customHeight="1">
      <c r="D229" s="16"/>
    </row>
    <row r="230" spans="4:4" ht="15.75" customHeight="1">
      <c r="D230" s="16"/>
    </row>
    <row r="231" spans="4:4" ht="15.75" customHeight="1">
      <c r="D231" s="16"/>
    </row>
    <row r="232" spans="4:4" ht="15.75" customHeight="1">
      <c r="D232" s="16"/>
    </row>
    <row r="233" spans="4:4" ht="15.75" customHeight="1">
      <c r="D233" s="16"/>
    </row>
    <row r="234" spans="4:4" ht="15.75" customHeight="1">
      <c r="D234" s="16"/>
    </row>
    <row r="235" spans="4:4" ht="15.75" customHeight="1">
      <c r="D235" s="16"/>
    </row>
    <row r="236" spans="4:4" ht="15.75" customHeight="1">
      <c r="D236" s="16"/>
    </row>
    <row r="237" spans="4:4" ht="15.75" customHeight="1">
      <c r="D237" s="16"/>
    </row>
    <row r="238" spans="4:4" ht="15.75" customHeight="1">
      <c r="D238" s="16"/>
    </row>
    <row r="239" spans="4:4" ht="15.75" customHeight="1">
      <c r="D239" s="16"/>
    </row>
    <row r="240" spans="4:4" ht="15.75" customHeight="1">
      <c r="D240" s="16"/>
    </row>
    <row r="241" spans="4:4" ht="15.75" customHeight="1">
      <c r="D241" s="16"/>
    </row>
    <row r="242" spans="4:4" ht="15.75" customHeight="1">
      <c r="D242" s="16"/>
    </row>
    <row r="243" spans="4:4" ht="15.75" customHeight="1">
      <c r="D243" s="16"/>
    </row>
    <row r="244" spans="4:4" ht="15.75" customHeight="1">
      <c r="D244" s="16"/>
    </row>
    <row r="245" spans="4:4" ht="15.75" customHeight="1">
      <c r="D245" s="16"/>
    </row>
    <row r="246" spans="4:4" ht="15.75" customHeight="1">
      <c r="D246" s="16"/>
    </row>
    <row r="247" spans="4:4" ht="15.75" customHeight="1">
      <c r="D247" s="16"/>
    </row>
    <row r="248" spans="4:4" ht="15.75" customHeight="1">
      <c r="D248" s="16"/>
    </row>
    <row r="249" spans="4:4" ht="15.75" customHeight="1">
      <c r="D249" s="16"/>
    </row>
    <row r="250" spans="4:4" ht="15.75" customHeight="1">
      <c r="D250" s="16"/>
    </row>
    <row r="251" spans="4:4" ht="15.75" customHeight="1">
      <c r="D251" s="16"/>
    </row>
    <row r="252" spans="4:4" ht="15.75" customHeight="1">
      <c r="D252" s="16"/>
    </row>
    <row r="253" spans="4:4" ht="15.75" customHeight="1">
      <c r="D253" s="16"/>
    </row>
    <row r="254" spans="4:4" ht="15.75" customHeight="1">
      <c r="D254" s="16"/>
    </row>
    <row r="255" spans="4:4" ht="15.75" customHeight="1">
      <c r="D255" s="16"/>
    </row>
    <row r="256" spans="4:4" ht="15.75" customHeight="1">
      <c r="D256" s="16"/>
    </row>
    <row r="257" spans="4:4" ht="15.75" customHeight="1">
      <c r="D257" s="16"/>
    </row>
    <row r="258" spans="4:4" ht="15.75" customHeight="1">
      <c r="D258" s="16"/>
    </row>
    <row r="259" spans="4:4" ht="15.75" customHeight="1">
      <c r="D259" s="16"/>
    </row>
    <row r="260" spans="4:4" ht="15.75" customHeight="1">
      <c r="D260" s="16"/>
    </row>
    <row r="261" spans="4:4" ht="15.75" customHeight="1">
      <c r="D261" s="16"/>
    </row>
    <row r="262" spans="4:4" ht="15.75" customHeight="1">
      <c r="D262" s="16"/>
    </row>
    <row r="263" spans="4:4" ht="15.75" customHeight="1">
      <c r="D263" s="16"/>
    </row>
    <row r="264" spans="4:4" ht="15.75" customHeight="1">
      <c r="D264" s="16"/>
    </row>
    <row r="265" spans="4:4" ht="15.75" customHeight="1">
      <c r="D265" s="16"/>
    </row>
    <row r="266" spans="4:4" ht="15.75" customHeight="1">
      <c r="D266" s="16"/>
    </row>
    <row r="267" spans="4:4" ht="15.75" customHeight="1">
      <c r="D267" s="16"/>
    </row>
    <row r="268" spans="4:4" ht="15.75" customHeight="1">
      <c r="D268" s="16"/>
    </row>
    <row r="269" spans="4:4" ht="15.75" customHeight="1">
      <c r="D269" s="16"/>
    </row>
    <row r="270" spans="4:4" ht="15.75" customHeight="1">
      <c r="D270" s="16"/>
    </row>
    <row r="271" spans="4:4" ht="15.75" customHeight="1">
      <c r="D271" s="16"/>
    </row>
    <row r="272" spans="4:4" ht="15.75" customHeight="1">
      <c r="D272" s="16"/>
    </row>
    <row r="273" spans="4:4" ht="15.75" customHeight="1">
      <c r="D273" s="16"/>
    </row>
    <row r="274" spans="4:4" ht="15.75" customHeight="1">
      <c r="D274" s="16"/>
    </row>
    <row r="275" spans="4:4" ht="15.75" customHeight="1">
      <c r="D275" s="16"/>
    </row>
    <row r="276" spans="4:4" ht="15.75" customHeight="1">
      <c r="D276" s="16"/>
    </row>
    <row r="277" spans="4:4" ht="15.75" customHeight="1">
      <c r="D277" s="16"/>
    </row>
    <row r="278" spans="4:4" ht="15.75" customHeight="1">
      <c r="D278" s="16"/>
    </row>
    <row r="279" spans="4:4" ht="15.75" customHeight="1">
      <c r="D279" s="16"/>
    </row>
    <row r="280" spans="4:4" ht="15.75" customHeight="1">
      <c r="D280" s="16"/>
    </row>
    <row r="281" spans="4:4" ht="15.75" customHeight="1">
      <c r="D281" s="16"/>
    </row>
    <row r="282" spans="4:4" ht="15.75" customHeight="1">
      <c r="D282" s="16"/>
    </row>
    <row r="283" spans="4:4" ht="15.75" customHeight="1">
      <c r="D283" s="16"/>
    </row>
    <row r="284" spans="4:4" ht="15.75" customHeight="1">
      <c r="D284" s="16"/>
    </row>
    <row r="285" spans="4:4" ht="15.75" customHeight="1">
      <c r="D285" s="16"/>
    </row>
    <row r="286" spans="4:4" ht="15.75" customHeight="1">
      <c r="D286" s="16"/>
    </row>
    <row r="287" spans="4:4" ht="15.75" customHeight="1">
      <c r="D287" s="16"/>
    </row>
    <row r="288" spans="4:4" ht="15.75" customHeight="1">
      <c r="D288" s="16"/>
    </row>
    <row r="289" spans="4:4" ht="15.75" customHeight="1">
      <c r="D289" s="16"/>
    </row>
    <row r="290" spans="4:4" ht="15.75" customHeight="1">
      <c r="D290" s="16"/>
    </row>
    <row r="291" spans="4:4" ht="15.75" customHeight="1">
      <c r="D291" s="16"/>
    </row>
    <row r="292" spans="4:4" ht="15.75" customHeight="1">
      <c r="D292" s="16"/>
    </row>
    <row r="293" spans="4:4" ht="15.75" customHeight="1">
      <c r="D293" s="16"/>
    </row>
    <row r="294" spans="4:4" ht="15.75" customHeight="1">
      <c r="D294" s="16"/>
    </row>
    <row r="295" spans="4:4" ht="15.75" customHeight="1">
      <c r="D295" s="16"/>
    </row>
    <row r="296" spans="4:4" ht="15.75" customHeight="1">
      <c r="D296" s="16"/>
    </row>
    <row r="297" spans="4:4" ht="15.75" customHeight="1">
      <c r="D297" s="16"/>
    </row>
    <row r="298" spans="4:4" ht="15.75" customHeight="1">
      <c r="D298" s="16"/>
    </row>
    <row r="299" spans="4:4" ht="15.75" customHeight="1">
      <c r="D299" s="16"/>
    </row>
    <row r="300" spans="4:4" ht="15.75" customHeight="1">
      <c r="D300" s="16"/>
    </row>
    <row r="301" spans="4:4" ht="15.75" customHeight="1">
      <c r="D301" s="16"/>
    </row>
    <row r="302" spans="4:4" ht="15.75" customHeight="1">
      <c r="D302" s="16"/>
    </row>
    <row r="303" spans="4:4" ht="15.75" customHeight="1">
      <c r="D303" s="16"/>
    </row>
    <row r="304" spans="4:4" ht="15.75" customHeight="1">
      <c r="D304" s="16"/>
    </row>
    <row r="305" spans="4:4" ht="15.75" customHeight="1">
      <c r="D305" s="16"/>
    </row>
    <row r="306" spans="4:4" ht="15.75" customHeight="1">
      <c r="D306" s="16"/>
    </row>
    <row r="307" spans="4:4" ht="15.75" customHeight="1">
      <c r="D307" s="16"/>
    </row>
    <row r="308" spans="4:4" ht="15.75" customHeight="1">
      <c r="D308" s="16"/>
    </row>
    <row r="309" spans="4:4" ht="15.75" customHeight="1">
      <c r="D309" s="16"/>
    </row>
    <row r="310" spans="4:4" ht="15.75" customHeight="1">
      <c r="D310" s="16"/>
    </row>
    <row r="311" spans="4:4" ht="15.75" customHeight="1">
      <c r="D311" s="16"/>
    </row>
    <row r="312" spans="4:4" ht="15.75" customHeight="1">
      <c r="D312" s="16"/>
    </row>
    <row r="313" spans="4:4" ht="15.75" customHeight="1">
      <c r="D313" s="16"/>
    </row>
    <row r="314" spans="4:4" ht="15.75" customHeight="1">
      <c r="D314" s="16"/>
    </row>
    <row r="315" spans="4:4" ht="15.75" customHeight="1">
      <c r="D315" s="16"/>
    </row>
    <row r="316" spans="4:4" ht="15.75" customHeight="1">
      <c r="D316" s="16"/>
    </row>
    <row r="317" spans="4:4" ht="15.75" customHeight="1">
      <c r="D317" s="16"/>
    </row>
    <row r="318" spans="4:4" ht="15.75" customHeight="1">
      <c r="D318" s="16"/>
    </row>
    <row r="319" spans="4:4" ht="15.75" customHeight="1">
      <c r="D319" s="16"/>
    </row>
    <row r="320" spans="4:4" ht="15.75" customHeight="1">
      <c r="D320" s="16"/>
    </row>
    <row r="321" spans="4:4" ht="15.75" customHeight="1">
      <c r="D321" s="16"/>
    </row>
    <row r="322" spans="4:4" ht="15.75" customHeight="1">
      <c r="D322" s="16"/>
    </row>
    <row r="323" spans="4:4" ht="15.75" customHeight="1">
      <c r="D323" s="16"/>
    </row>
    <row r="324" spans="4:4" ht="15.75" customHeight="1">
      <c r="D324" s="16"/>
    </row>
    <row r="325" spans="4:4" ht="15.75" customHeight="1">
      <c r="D325" s="16"/>
    </row>
    <row r="326" spans="4:4" ht="15.75" customHeight="1">
      <c r="D326" s="16"/>
    </row>
    <row r="327" spans="4:4" ht="15.75" customHeight="1">
      <c r="D327" s="16"/>
    </row>
    <row r="328" spans="4:4" ht="15.75" customHeight="1">
      <c r="D328" s="16"/>
    </row>
    <row r="329" spans="4:4" ht="15.75" customHeight="1">
      <c r="D329" s="16"/>
    </row>
    <row r="330" spans="4:4" ht="15.75" customHeight="1">
      <c r="D330" s="16"/>
    </row>
    <row r="331" spans="4:4" ht="15.75" customHeight="1">
      <c r="D331" s="16"/>
    </row>
    <row r="332" spans="4:4" ht="15.75" customHeight="1">
      <c r="D332" s="16"/>
    </row>
    <row r="333" spans="4:4" ht="15.75" customHeight="1">
      <c r="D333" s="16"/>
    </row>
    <row r="334" spans="4:4" ht="15.75" customHeight="1">
      <c r="D334" s="16"/>
    </row>
    <row r="335" spans="4:4" ht="15.75" customHeight="1">
      <c r="D335" s="16"/>
    </row>
    <row r="336" spans="4:4" ht="15.75" customHeight="1">
      <c r="D336" s="16"/>
    </row>
    <row r="337" spans="4:4" ht="15.75" customHeight="1">
      <c r="D337" s="16"/>
    </row>
    <row r="338" spans="4:4" ht="15.75" customHeight="1">
      <c r="D338" s="16"/>
    </row>
    <row r="339" spans="4:4" ht="15.75" customHeight="1">
      <c r="D339" s="16"/>
    </row>
    <row r="340" spans="4:4" ht="15.75" customHeight="1">
      <c r="D340" s="16"/>
    </row>
    <row r="341" spans="4:4" ht="15.75" customHeight="1">
      <c r="D341" s="16"/>
    </row>
    <row r="342" spans="4:4" ht="15.75" customHeight="1">
      <c r="D342" s="16"/>
    </row>
    <row r="343" spans="4:4" ht="15.75" customHeight="1">
      <c r="D343" s="16"/>
    </row>
    <row r="344" spans="4:4" ht="15.75" customHeight="1">
      <c r="D344" s="16"/>
    </row>
    <row r="345" spans="4:4" ht="15.75" customHeight="1">
      <c r="D345" s="16"/>
    </row>
    <row r="346" spans="4:4" ht="15.75" customHeight="1">
      <c r="D346" s="16"/>
    </row>
    <row r="347" spans="4:4" ht="15.75" customHeight="1">
      <c r="D347" s="16"/>
    </row>
    <row r="348" spans="4:4" ht="15.75" customHeight="1">
      <c r="D348" s="16"/>
    </row>
    <row r="349" spans="4:4" ht="15.75" customHeight="1">
      <c r="D349" s="16"/>
    </row>
    <row r="350" spans="4:4" ht="15.75" customHeight="1">
      <c r="D350" s="16"/>
    </row>
    <row r="351" spans="4:4" ht="15.75" customHeight="1">
      <c r="D351" s="16"/>
    </row>
    <row r="352" spans="4:4" ht="15.75" customHeight="1">
      <c r="D352" s="16"/>
    </row>
    <row r="353" spans="4:4" ht="15.75" customHeight="1">
      <c r="D353" s="16"/>
    </row>
    <row r="354" spans="4:4" ht="15.75" customHeight="1">
      <c r="D354" s="16"/>
    </row>
    <row r="355" spans="4:4" ht="15.75" customHeight="1">
      <c r="D355" s="16"/>
    </row>
    <row r="356" spans="4:4" ht="15.75" customHeight="1">
      <c r="D356" s="16"/>
    </row>
    <row r="357" spans="4:4" ht="15.75" customHeight="1">
      <c r="D357" s="16"/>
    </row>
    <row r="358" spans="4:4" ht="15.75" customHeight="1">
      <c r="D358" s="16"/>
    </row>
    <row r="359" spans="4:4" ht="15.75" customHeight="1">
      <c r="D359" s="16"/>
    </row>
    <row r="360" spans="4:4" ht="15.75" customHeight="1">
      <c r="D360" s="16"/>
    </row>
    <row r="361" spans="4:4" ht="15.75" customHeight="1">
      <c r="D361" s="16"/>
    </row>
    <row r="362" spans="4:4" ht="15.75" customHeight="1">
      <c r="D362" s="16"/>
    </row>
    <row r="363" spans="4:4" ht="15.75" customHeight="1">
      <c r="D363" s="16"/>
    </row>
    <row r="364" spans="4:4" ht="15.75" customHeight="1">
      <c r="D364" s="16"/>
    </row>
    <row r="365" spans="4:4" ht="15.75" customHeight="1">
      <c r="D365" s="16"/>
    </row>
    <row r="366" spans="4:4" ht="15.75" customHeight="1">
      <c r="D366" s="16"/>
    </row>
    <row r="367" spans="4:4" ht="15.75" customHeight="1">
      <c r="D367" s="16"/>
    </row>
    <row r="368" spans="4:4" ht="15.75" customHeight="1">
      <c r="D368" s="16"/>
    </row>
    <row r="369" spans="4:4" ht="15.75" customHeight="1">
      <c r="D369" s="16"/>
    </row>
    <row r="370" spans="4:4" ht="15.75" customHeight="1">
      <c r="D370" s="16"/>
    </row>
    <row r="371" spans="4:4" ht="15.75" customHeight="1">
      <c r="D371" s="16"/>
    </row>
    <row r="372" spans="4:4" ht="15.75" customHeight="1">
      <c r="D372" s="16"/>
    </row>
    <row r="373" spans="4:4" ht="15.75" customHeight="1">
      <c r="D373" s="16"/>
    </row>
    <row r="374" spans="4:4" ht="15.75" customHeight="1">
      <c r="D374" s="16"/>
    </row>
    <row r="375" spans="4:4" ht="15.75" customHeight="1">
      <c r="D375" s="16"/>
    </row>
    <row r="376" spans="4:4" ht="15.75" customHeight="1">
      <c r="D376" s="16"/>
    </row>
    <row r="377" spans="4:4" ht="15.75" customHeight="1">
      <c r="D377" s="16"/>
    </row>
    <row r="378" spans="4:4" ht="15.75" customHeight="1">
      <c r="D378" s="16"/>
    </row>
    <row r="379" spans="4:4" ht="15.75" customHeight="1">
      <c r="D379" s="16"/>
    </row>
    <row r="380" spans="4:4" ht="15.75" customHeight="1">
      <c r="D380" s="16"/>
    </row>
    <row r="381" spans="4:4" ht="15.75" customHeight="1">
      <c r="D381" s="16"/>
    </row>
    <row r="382" spans="4:4" ht="15.75" customHeight="1">
      <c r="D382" s="16"/>
    </row>
    <row r="383" spans="4:4" ht="15.75" customHeight="1">
      <c r="D383" s="16"/>
    </row>
    <row r="384" spans="4:4" ht="15.75" customHeight="1">
      <c r="D384" s="16"/>
    </row>
    <row r="385" spans="4:4" ht="15.75" customHeight="1">
      <c r="D385" s="16"/>
    </row>
    <row r="386" spans="4:4" ht="15.75" customHeight="1">
      <c r="D386" s="16"/>
    </row>
    <row r="387" spans="4:4" ht="15.75" customHeight="1">
      <c r="D387" s="16"/>
    </row>
    <row r="388" spans="4:4" ht="15.75" customHeight="1">
      <c r="D388" s="16"/>
    </row>
    <row r="389" spans="4:4" ht="15.75" customHeight="1">
      <c r="D389" s="16"/>
    </row>
    <row r="390" spans="4:4" ht="15.75" customHeight="1">
      <c r="D390" s="16"/>
    </row>
    <row r="391" spans="4:4" ht="15.75" customHeight="1">
      <c r="D391" s="16"/>
    </row>
    <row r="392" spans="4:4" ht="15.75" customHeight="1">
      <c r="D392" s="16"/>
    </row>
    <row r="393" spans="4:4" ht="15.75" customHeight="1">
      <c r="D393" s="16"/>
    </row>
    <row r="394" spans="4:4" ht="15.75" customHeight="1">
      <c r="D394" s="16"/>
    </row>
    <row r="395" spans="4:4" ht="15.75" customHeight="1">
      <c r="D395" s="16"/>
    </row>
    <row r="396" spans="4:4" ht="15.75" customHeight="1">
      <c r="D396" s="16"/>
    </row>
    <row r="397" spans="4:4" ht="15.75" customHeight="1">
      <c r="D397" s="16"/>
    </row>
    <row r="398" spans="4:4" ht="15.75" customHeight="1">
      <c r="D398" s="16"/>
    </row>
    <row r="399" spans="4:4" ht="15.75" customHeight="1">
      <c r="D399" s="16"/>
    </row>
    <row r="400" spans="4:4" ht="15.75" customHeight="1">
      <c r="D400" s="16"/>
    </row>
    <row r="401" spans="4:4" ht="15.75" customHeight="1">
      <c r="D401" s="16"/>
    </row>
    <row r="402" spans="4:4" ht="15.75" customHeight="1">
      <c r="D402" s="16"/>
    </row>
    <row r="403" spans="4:4" ht="15.75" customHeight="1">
      <c r="D403" s="16"/>
    </row>
    <row r="404" spans="4:4" ht="15.75" customHeight="1">
      <c r="D404" s="16"/>
    </row>
    <row r="405" spans="4:4" ht="15.75" customHeight="1">
      <c r="D405" s="16"/>
    </row>
    <row r="406" spans="4:4" ht="15.75" customHeight="1">
      <c r="D406" s="16"/>
    </row>
    <row r="407" spans="4:4" ht="15.75" customHeight="1">
      <c r="D407" s="16"/>
    </row>
    <row r="408" spans="4:4" ht="15.75" customHeight="1">
      <c r="D408" s="16"/>
    </row>
    <row r="409" spans="4:4" ht="15.75" customHeight="1">
      <c r="D409" s="16"/>
    </row>
    <row r="410" spans="4:4" ht="15.75" customHeight="1">
      <c r="D410" s="16"/>
    </row>
    <row r="411" spans="4:4" ht="15.75" customHeight="1">
      <c r="D411" s="16"/>
    </row>
    <row r="412" spans="4:4" ht="15.75" customHeight="1">
      <c r="D412" s="16"/>
    </row>
    <row r="413" spans="4:4" ht="15.75" customHeight="1">
      <c r="D413" s="16"/>
    </row>
    <row r="414" spans="4:4" ht="15.75" customHeight="1">
      <c r="D414" s="16"/>
    </row>
    <row r="415" spans="4:4" ht="15.75" customHeight="1">
      <c r="D415" s="16"/>
    </row>
    <row r="416" spans="4:4" ht="15.75" customHeight="1">
      <c r="D416" s="16"/>
    </row>
    <row r="417" spans="4:4" ht="15.75" customHeight="1">
      <c r="D417" s="16"/>
    </row>
    <row r="418" spans="4:4" ht="15.75" customHeight="1">
      <c r="D418" s="16"/>
    </row>
    <row r="419" spans="4:4" ht="15.75" customHeight="1">
      <c r="D419" s="16"/>
    </row>
    <row r="420" spans="4:4" ht="15.75" customHeight="1">
      <c r="D420" s="16"/>
    </row>
    <row r="421" spans="4:4" ht="15.75" customHeight="1">
      <c r="D421" s="16"/>
    </row>
    <row r="422" spans="4:4" ht="15.75" customHeight="1">
      <c r="D422" s="16"/>
    </row>
    <row r="423" spans="4:4" ht="15.75" customHeight="1">
      <c r="D423" s="16"/>
    </row>
    <row r="424" spans="4:4" ht="15.75" customHeight="1">
      <c r="D424" s="16"/>
    </row>
    <row r="425" spans="4:4" ht="15.75" customHeight="1">
      <c r="D425" s="16"/>
    </row>
    <row r="426" spans="4:4" ht="15.75" customHeight="1">
      <c r="D426" s="16"/>
    </row>
    <row r="427" spans="4:4" ht="15.75" customHeight="1">
      <c r="D427" s="16"/>
    </row>
    <row r="428" spans="4:4" ht="15.75" customHeight="1">
      <c r="D428" s="16"/>
    </row>
    <row r="429" spans="4:4" ht="15.75" customHeight="1">
      <c r="D429" s="16"/>
    </row>
    <row r="430" spans="4:4" ht="15.75" customHeight="1">
      <c r="D430" s="16"/>
    </row>
    <row r="431" spans="4:4" ht="15.75" customHeight="1">
      <c r="D431" s="16"/>
    </row>
    <row r="432" spans="4:4" ht="15.75" customHeight="1">
      <c r="D432" s="16"/>
    </row>
    <row r="433" spans="4:4" ht="15.75" customHeight="1">
      <c r="D433" s="16"/>
    </row>
    <row r="434" spans="4:4" ht="15.75" customHeight="1">
      <c r="D434" s="16"/>
    </row>
    <row r="435" spans="4:4" ht="15.75" customHeight="1">
      <c r="D435" s="16"/>
    </row>
    <row r="436" spans="4:4" ht="15.75" customHeight="1">
      <c r="D436" s="16"/>
    </row>
    <row r="437" spans="4:4" ht="15.75" customHeight="1">
      <c r="D437" s="16"/>
    </row>
    <row r="438" spans="4:4" ht="15.75" customHeight="1">
      <c r="D438" s="16"/>
    </row>
    <row r="439" spans="4:4" ht="15.75" customHeight="1">
      <c r="D439" s="16"/>
    </row>
    <row r="440" spans="4:4" ht="15.75" customHeight="1">
      <c r="D440" s="16"/>
    </row>
    <row r="441" spans="4:4" ht="15.75" customHeight="1">
      <c r="D441" s="16"/>
    </row>
    <row r="442" spans="4:4" ht="15.75" customHeight="1">
      <c r="D442" s="16"/>
    </row>
    <row r="443" spans="4:4" ht="15.75" customHeight="1">
      <c r="D443" s="16"/>
    </row>
    <row r="444" spans="4:4" ht="15.75" customHeight="1">
      <c r="D444" s="16"/>
    </row>
    <row r="445" spans="4:4" ht="15.75" customHeight="1">
      <c r="D445" s="16"/>
    </row>
    <row r="446" spans="4:4" ht="15.75" customHeight="1">
      <c r="D446" s="16"/>
    </row>
    <row r="447" spans="4:4" ht="15.75" customHeight="1">
      <c r="D447" s="16"/>
    </row>
    <row r="448" spans="4:4" ht="15.75" customHeight="1">
      <c r="D448" s="16"/>
    </row>
    <row r="449" spans="4:4" ht="15.75" customHeight="1">
      <c r="D449" s="16"/>
    </row>
    <row r="450" spans="4:4" ht="15.75" customHeight="1">
      <c r="D450" s="16"/>
    </row>
    <row r="451" spans="4:4" ht="15.75" customHeight="1">
      <c r="D451" s="16"/>
    </row>
    <row r="452" spans="4:4" ht="15.75" customHeight="1">
      <c r="D452" s="16"/>
    </row>
    <row r="453" spans="4:4" ht="15.75" customHeight="1">
      <c r="D453" s="16"/>
    </row>
    <row r="454" spans="4:4" ht="15.75" customHeight="1">
      <c r="D454" s="16"/>
    </row>
    <row r="455" spans="4:4" ht="15.75" customHeight="1">
      <c r="D455" s="16"/>
    </row>
    <row r="456" spans="4:4" ht="15.75" customHeight="1">
      <c r="D456" s="16"/>
    </row>
    <row r="457" spans="4:4" ht="15.75" customHeight="1">
      <c r="D457" s="16"/>
    </row>
    <row r="458" spans="4:4" ht="15.75" customHeight="1">
      <c r="D458" s="16"/>
    </row>
    <row r="459" spans="4:4" ht="15.75" customHeight="1">
      <c r="D459" s="16"/>
    </row>
    <row r="460" spans="4:4" ht="15.75" customHeight="1">
      <c r="D460" s="16"/>
    </row>
    <row r="461" spans="4:4" ht="15.75" customHeight="1">
      <c r="D461" s="16"/>
    </row>
    <row r="462" spans="4:4" ht="15.75" customHeight="1">
      <c r="D462" s="16"/>
    </row>
    <row r="463" spans="4:4" ht="15.75" customHeight="1">
      <c r="D463" s="16"/>
    </row>
    <row r="464" spans="4:4" ht="15.75" customHeight="1">
      <c r="D464" s="16"/>
    </row>
    <row r="465" spans="4:4" ht="15.75" customHeight="1">
      <c r="D465" s="16"/>
    </row>
    <row r="466" spans="4:4" ht="15.75" customHeight="1">
      <c r="D466" s="16"/>
    </row>
    <row r="467" spans="4:4" ht="15.75" customHeight="1">
      <c r="D467" s="16"/>
    </row>
    <row r="468" spans="4:4" ht="15.75" customHeight="1">
      <c r="D468" s="16"/>
    </row>
    <row r="469" spans="4:4" ht="15.75" customHeight="1">
      <c r="D469" s="16"/>
    </row>
    <row r="470" spans="4:4" ht="15.75" customHeight="1">
      <c r="D470" s="16"/>
    </row>
    <row r="471" spans="4:4" ht="15.75" customHeight="1">
      <c r="D471" s="16"/>
    </row>
    <row r="472" spans="4:4" ht="15.75" customHeight="1">
      <c r="D472" s="16"/>
    </row>
    <row r="473" spans="4:4" ht="15.75" customHeight="1">
      <c r="D473" s="16"/>
    </row>
    <row r="474" spans="4:4" ht="15.75" customHeight="1">
      <c r="D474" s="16"/>
    </row>
    <row r="475" spans="4:4" ht="15.75" customHeight="1">
      <c r="D475" s="16"/>
    </row>
    <row r="476" spans="4:4" ht="15.75" customHeight="1">
      <c r="D476" s="16"/>
    </row>
    <row r="477" spans="4:4" ht="15.75" customHeight="1">
      <c r="D477" s="16"/>
    </row>
    <row r="478" spans="4:4" ht="15.75" customHeight="1">
      <c r="D478" s="16"/>
    </row>
    <row r="479" spans="4:4" ht="15.75" customHeight="1">
      <c r="D479" s="16"/>
    </row>
    <row r="480" spans="4:4" ht="15.75" customHeight="1">
      <c r="D480" s="16"/>
    </row>
    <row r="481" spans="4:4" ht="15.75" customHeight="1">
      <c r="D481" s="16"/>
    </row>
    <row r="482" spans="4:4" ht="15.75" customHeight="1">
      <c r="D482" s="16"/>
    </row>
    <row r="483" spans="4:4" ht="15.75" customHeight="1">
      <c r="D483" s="16"/>
    </row>
    <row r="484" spans="4:4" ht="15.75" customHeight="1">
      <c r="D484" s="16"/>
    </row>
    <row r="485" spans="4:4" ht="15.75" customHeight="1">
      <c r="D485" s="16"/>
    </row>
    <row r="486" spans="4:4" ht="15.75" customHeight="1">
      <c r="D486" s="16"/>
    </row>
    <row r="487" spans="4:4" ht="15.75" customHeight="1">
      <c r="D487" s="16"/>
    </row>
    <row r="488" spans="4:4" ht="15.75" customHeight="1">
      <c r="D488" s="16"/>
    </row>
    <row r="489" spans="4:4" ht="15.75" customHeight="1">
      <c r="D489" s="16"/>
    </row>
    <row r="490" spans="4:4" ht="15.75" customHeight="1">
      <c r="D490" s="16"/>
    </row>
    <row r="491" spans="4:4" ht="15.75" customHeight="1">
      <c r="D491" s="16"/>
    </row>
    <row r="492" spans="4:4" ht="15.75" customHeight="1">
      <c r="D492" s="16"/>
    </row>
    <row r="493" spans="4:4" ht="15.75" customHeight="1">
      <c r="D493" s="16"/>
    </row>
    <row r="494" spans="4:4" ht="15.75" customHeight="1">
      <c r="D494" s="16"/>
    </row>
    <row r="495" spans="4:4" ht="15.75" customHeight="1">
      <c r="D495" s="16"/>
    </row>
    <row r="496" spans="4:4" ht="15.75" customHeight="1">
      <c r="D496" s="16"/>
    </row>
    <row r="497" spans="4:4" ht="15.75" customHeight="1">
      <c r="D497" s="16"/>
    </row>
    <row r="498" spans="4:4" ht="15.75" customHeight="1">
      <c r="D498" s="16"/>
    </row>
    <row r="499" spans="4:4" ht="15.75" customHeight="1">
      <c r="D499" s="16"/>
    </row>
    <row r="500" spans="4:4" ht="15.75" customHeight="1">
      <c r="D500" s="16"/>
    </row>
    <row r="501" spans="4:4" ht="15.75" customHeight="1"/>
    <row r="502" spans="4:4" ht="15.75" customHeight="1"/>
    <row r="503" spans="4:4" ht="15.75" customHeight="1"/>
    <row r="504" spans="4:4" ht="15.75" customHeight="1"/>
    <row r="505" spans="4:4" ht="15.75" customHeight="1"/>
    <row r="506" spans="4:4" ht="15.75" customHeight="1"/>
    <row r="507" spans="4:4" ht="15.75" customHeight="1"/>
    <row r="508" spans="4:4" ht="15.75" customHeight="1"/>
    <row r="509" spans="4:4" ht="15.75" customHeight="1"/>
    <row r="510" spans="4:4" ht="15.75" customHeight="1"/>
    <row r="511" spans="4:4" ht="15.75" customHeight="1"/>
    <row r="512" spans="4:4"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9" xr:uid="{00000000-0009-0000-0000-000007000000}"/>
  <conditionalFormatting sqref="D2:D39">
    <cfRule type="expression" dxfId="3" priority="1">
      <formula>D2="DONE"</formula>
    </cfRule>
    <cfRule type="expression" dxfId="2" priority="2">
      <formula>D2="DOING"</formula>
    </cfRule>
    <cfRule type="expression" dxfId="1" priority="3">
      <formula>D2="BLOCKED"</formula>
    </cfRule>
    <cfRule type="expression" dxfId="0" priority="4">
      <formula>D2="PASS"</formula>
    </cfRule>
  </conditionalFormatting>
  <dataValidations count="1">
    <dataValidation type="list" allowBlank="1" sqref="D2:D500" xr:uid="{00000000-0002-0000-0700-000000000000}">
      <formula1>"TODO,DOING,DONE,BLOCKED"</formula1>
    </dataValidation>
  </dataValidations>
  <pageMargins left="0.25" right="0.25" top="0.45" bottom="0.45" header="0" footer="0"/>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43B53"/>
    <pageSetUpPr fitToPage="1"/>
  </sheetPr>
  <dimension ref="A1:H1000"/>
  <sheetViews>
    <sheetView showGridLines="0" workbookViewId="0">
      <selection activeCell="E3" sqref="E3:H8"/>
    </sheetView>
  </sheetViews>
  <sheetFormatPr defaultColWidth="14.44140625" defaultRowHeight="15" customHeight="1"/>
  <cols>
    <col min="1" max="1" width="34" customWidth="1"/>
    <col min="2" max="2" width="22" customWidth="1"/>
    <col min="3" max="3" width="75" customWidth="1"/>
    <col min="4" max="4" width="8.6640625" customWidth="1"/>
    <col min="5" max="5" width="28" customWidth="1"/>
    <col min="6" max="8" width="22" customWidth="1"/>
    <col min="9" max="26" width="8.6640625" customWidth="1"/>
  </cols>
  <sheetData>
    <row r="1" spans="1:8" ht="37.5" customHeight="1">
      <c r="A1" s="4" t="s">
        <v>931</v>
      </c>
      <c r="B1" s="4" t="s">
        <v>932</v>
      </c>
      <c r="C1" s="4" t="s">
        <v>17</v>
      </c>
      <c r="D1" s="4"/>
      <c r="E1" s="4"/>
      <c r="F1" s="4"/>
      <c r="G1" s="4"/>
      <c r="H1" s="4"/>
    </row>
    <row r="2" spans="1:8" ht="14.4" customHeight="1">
      <c r="A2" s="29" t="s">
        <v>933</v>
      </c>
      <c r="B2" s="30">
        <f>COUNTA(MMA301_Assignment1_Plan!A2:A500)</f>
        <v>74</v>
      </c>
      <c r="C2" s="10" t="s">
        <v>934</v>
      </c>
      <c r="D2" s="10"/>
      <c r="E2" s="10" t="s">
        <v>935</v>
      </c>
      <c r="F2" s="10"/>
      <c r="G2" s="10"/>
      <c r="H2" s="10"/>
    </row>
    <row r="3" spans="1:8" ht="14.4" customHeight="1">
      <c r="A3" s="29" t="s">
        <v>100</v>
      </c>
      <c r="B3" s="30">
        <f>COUNTIF(MMA301_Assignment1_Plan!Q2:Q500,"TODO")</f>
        <v>0</v>
      </c>
      <c r="C3" s="10" t="s">
        <v>936</v>
      </c>
      <c r="D3" s="10"/>
      <c r="E3" s="60" t="s">
        <v>937</v>
      </c>
      <c r="F3" s="38"/>
      <c r="G3" s="38"/>
      <c r="H3" s="38"/>
    </row>
    <row r="4" spans="1:8" ht="14.4" customHeight="1">
      <c r="A4" s="29" t="s">
        <v>938</v>
      </c>
      <c r="B4" s="30">
        <f>COUNTIF(MMA301_Assignment1_Plan!Q2:Q500,"DOING")</f>
        <v>0</v>
      </c>
      <c r="C4" s="10" t="s">
        <v>939</v>
      </c>
      <c r="D4" s="10"/>
      <c r="E4" s="38"/>
      <c r="F4" s="38"/>
      <c r="G4" s="38"/>
      <c r="H4" s="38"/>
    </row>
    <row r="5" spans="1:8" ht="14.4" customHeight="1">
      <c r="A5" s="29" t="s">
        <v>34</v>
      </c>
      <c r="B5" s="30">
        <f>COUNTIF(MMA301_Assignment1_Plan!Q2:Q500,"DONE")</f>
        <v>73</v>
      </c>
      <c r="C5" s="10" t="s">
        <v>940</v>
      </c>
      <c r="D5" s="10"/>
      <c r="E5" s="38"/>
      <c r="F5" s="38"/>
      <c r="G5" s="38"/>
      <c r="H5" s="38"/>
    </row>
    <row r="6" spans="1:8" ht="14.4" customHeight="1">
      <c r="A6" s="29" t="s">
        <v>56</v>
      </c>
      <c r="B6" s="30">
        <f>COUNTIF(MMA301_Assignment1_Plan!Q2:Q500,"BLOCKED")</f>
        <v>0</v>
      </c>
      <c r="C6" s="10" t="s">
        <v>941</v>
      </c>
      <c r="D6" s="10"/>
      <c r="E6" s="38"/>
      <c r="F6" s="38"/>
      <c r="G6" s="38"/>
      <c r="H6" s="38"/>
    </row>
    <row r="7" spans="1:8" ht="14.4" customHeight="1">
      <c r="A7" s="29" t="s">
        <v>942</v>
      </c>
      <c r="B7" s="31">
        <f>IFERROR(B5/B2,0)</f>
        <v>0.98648648648648651</v>
      </c>
      <c r="C7" s="10" t="s">
        <v>943</v>
      </c>
      <c r="D7" s="10"/>
      <c r="E7" s="38"/>
      <c r="F7" s="38"/>
      <c r="G7" s="38"/>
      <c r="H7" s="38"/>
    </row>
    <row r="8" spans="1:8" ht="14.4" customHeight="1">
      <c r="A8" s="29" t="s">
        <v>944</v>
      </c>
      <c r="B8" s="30">
        <f>COUNTIF(MMA301_Assignment1_Plan!O2:O500,"HIGH")</f>
        <v>55</v>
      </c>
      <c r="C8" s="10" t="s">
        <v>945</v>
      </c>
      <c r="D8" s="10"/>
      <c r="E8" s="61"/>
      <c r="F8" s="61"/>
      <c r="G8" s="61"/>
      <c r="H8" s="61"/>
    </row>
    <row r="9" spans="1:8" ht="14.4" customHeight="1">
      <c r="A9" s="29" t="s">
        <v>946</v>
      </c>
      <c r="B9" s="30">
        <f>COUNTIF(MMA301_Assignment1_Plan!O2:O500,"MEDIUM")</f>
        <v>7</v>
      </c>
      <c r="C9" s="10" t="s">
        <v>947</v>
      </c>
      <c r="D9" s="10"/>
      <c r="E9" s="10"/>
      <c r="F9" s="10"/>
      <c r="G9" s="10"/>
      <c r="H9" s="10"/>
    </row>
    <row r="10" spans="1:8" ht="14.4" customHeight="1">
      <c r="A10" s="29" t="s">
        <v>948</v>
      </c>
      <c r="B10" s="30">
        <f>COUNTIF(MMA301_Assignment1_Plan!O2:O500,"LOW")</f>
        <v>0</v>
      </c>
      <c r="C10" s="10" t="s">
        <v>949</v>
      </c>
      <c r="D10" s="10"/>
      <c r="E10" s="10"/>
      <c r="F10" s="10"/>
      <c r="G10" s="10"/>
      <c r="H10" s="10"/>
    </row>
    <row r="11" spans="1:8" ht="14.4" customHeight="1">
      <c r="A11" s="29" t="s">
        <v>950</v>
      </c>
      <c r="B11" s="30">
        <f>COUNTA(RTM!A2:A50)</f>
        <v>10</v>
      </c>
      <c r="C11" s="10" t="s">
        <v>951</v>
      </c>
      <c r="D11" s="10"/>
      <c r="E11" s="10"/>
      <c r="F11" s="10"/>
      <c r="G11" s="10"/>
      <c r="H11" s="10"/>
    </row>
    <row r="12" spans="1:8" ht="14.4" customHeight="1">
      <c r="A12" s="29" t="s">
        <v>952</v>
      </c>
      <c r="B12" s="30">
        <f>COUNTA(RTM!A2:A50)</f>
        <v>10</v>
      </c>
      <c r="C12" s="10" t="s">
        <v>339</v>
      </c>
      <c r="D12" s="10"/>
      <c r="E12" s="10"/>
      <c r="F12" s="10"/>
      <c r="G12" s="10"/>
      <c r="H12" s="10"/>
    </row>
    <row r="13" spans="1:8" ht="14.4" customHeight="1">
      <c r="A13" s="29" t="s">
        <v>953</v>
      </c>
      <c r="B13" s="30">
        <f>COUNTA(Test_Matrix!A2:A100)</f>
        <v>17</v>
      </c>
      <c r="C13" s="10" t="s">
        <v>954</v>
      </c>
      <c r="D13" s="10"/>
      <c r="E13" s="10"/>
      <c r="F13" s="10"/>
      <c r="G13" s="10"/>
      <c r="H13" s="10"/>
    </row>
    <row r="14" spans="1:8" ht="14.4" customHeight="1">
      <c r="A14" s="29" t="s">
        <v>955</v>
      </c>
      <c r="B14" s="30">
        <v>2</v>
      </c>
      <c r="C14" s="10" t="s">
        <v>956</v>
      </c>
      <c r="D14" s="10"/>
      <c r="E14" s="10"/>
      <c r="F14" s="10"/>
      <c r="G14" s="10"/>
      <c r="H14" s="10"/>
    </row>
    <row r="15" spans="1:8" ht="14.4" customHeight="1">
      <c r="A15" s="29" t="s">
        <v>957</v>
      </c>
      <c r="B15" s="30">
        <f>COUNTA(Transfer_Practice!A2:A100)</f>
        <v>11</v>
      </c>
      <c r="C15" s="10" t="s">
        <v>958</v>
      </c>
      <c r="D15" s="10"/>
      <c r="E15" s="10"/>
      <c r="F15" s="10"/>
      <c r="G15" s="10"/>
      <c r="H15" s="10"/>
    </row>
    <row r="16" spans="1:8" ht="14.4" customHeight="1">
      <c r="A16" s="10"/>
      <c r="B16" s="10"/>
      <c r="C16" s="10"/>
      <c r="D16" s="10"/>
      <c r="E16" s="10"/>
      <c r="F16" s="10"/>
      <c r="G16" s="10"/>
      <c r="H16" s="10"/>
    </row>
    <row r="17" spans="1:8" ht="14.4" customHeight="1">
      <c r="A17" s="10"/>
      <c r="B17" s="10"/>
      <c r="C17" s="10"/>
      <c r="D17" s="10"/>
      <c r="E17" s="10"/>
      <c r="F17" s="10"/>
      <c r="G17" s="10"/>
      <c r="H17" s="10"/>
    </row>
    <row r="18" spans="1:8" ht="27.75" customHeight="1">
      <c r="A18" s="60" t="s">
        <v>959</v>
      </c>
      <c r="B18" s="61"/>
      <c r="C18" s="61"/>
      <c r="D18" s="10"/>
      <c r="E18" s="10"/>
      <c r="F18" s="10"/>
      <c r="G18" s="10"/>
      <c r="H18" s="10"/>
    </row>
    <row r="19" spans="1:8" ht="14.4" customHeight="1">
      <c r="A19" s="10" t="s">
        <v>20</v>
      </c>
      <c r="B19" s="10">
        <f>COUNTIF(MMA301_Assignment1_Plan!B2:B500,A19)</f>
        <v>22</v>
      </c>
      <c r="C19" s="10" t="s">
        <v>960</v>
      </c>
      <c r="D19" s="10"/>
      <c r="E19" s="10"/>
      <c r="F19" s="10"/>
      <c r="G19" s="10"/>
      <c r="H19" s="10"/>
    </row>
    <row r="20" spans="1:8" ht="14.4" customHeight="1">
      <c r="A20" s="10" t="s">
        <v>88</v>
      </c>
      <c r="B20" s="10">
        <f>COUNTIF(MMA301_Assignment1_Plan!B2:B500,A20)</f>
        <v>12</v>
      </c>
      <c r="C20" s="10" t="s">
        <v>960</v>
      </c>
      <c r="D20" s="10"/>
      <c r="E20" s="10"/>
      <c r="F20" s="10"/>
      <c r="G20" s="10"/>
      <c r="H20" s="10"/>
    </row>
    <row r="21" spans="1:8" ht="15.75" customHeight="1">
      <c r="A21" s="10" t="s">
        <v>135</v>
      </c>
      <c r="B21" s="10">
        <f>COUNTIF(MMA301_Assignment1_Plan!B2:B500,A21)</f>
        <v>28</v>
      </c>
      <c r="C21" s="10" t="s">
        <v>960</v>
      </c>
      <c r="D21" s="10"/>
      <c r="E21" s="10"/>
      <c r="F21" s="10"/>
      <c r="G21" s="10"/>
      <c r="H21" s="10"/>
    </row>
    <row r="22" spans="1:8" ht="15.75" customHeight="1">
      <c r="A22" s="10" t="s">
        <v>230</v>
      </c>
      <c r="B22" s="10">
        <f>COUNTIF(MMA301_Assignment1_Plan!B2:B500,A22)</f>
        <v>2</v>
      </c>
      <c r="C22" s="10" t="s">
        <v>960</v>
      </c>
      <c r="D22" s="10"/>
      <c r="E22" s="10"/>
      <c r="F22" s="10"/>
      <c r="G22" s="10"/>
      <c r="H22" s="10"/>
    </row>
    <row r="23" spans="1:8" ht="15.75" customHeight="1">
      <c r="A23" s="10" t="s">
        <v>254</v>
      </c>
      <c r="B23" s="10">
        <f>COUNTIF(MMA301_Assignment1_Plan!B2:B500,A23)</f>
        <v>2</v>
      </c>
      <c r="C23" s="10" t="s">
        <v>960</v>
      </c>
      <c r="D23" s="10"/>
      <c r="E23" s="10"/>
      <c r="F23" s="10"/>
      <c r="G23" s="10"/>
      <c r="H23" s="10"/>
    </row>
    <row r="24" spans="1:8" ht="15.75" customHeight="1">
      <c r="A24" s="10" t="s">
        <v>274</v>
      </c>
      <c r="B24" s="10">
        <f>COUNTIF(MMA301_Assignment1_Plan!B2:B500,A24)</f>
        <v>2</v>
      </c>
      <c r="C24" s="10" t="s">
        <v>960</v>
      </c>
      <c r="D24" s="10"/>
      <c r="E24" s="10"/>
      <c r="F24" s="10"/>
      <c r="G24" s="10"/>
      <c r="H24" s="10"/>
    </row>
    <row r="25" spans="1:8" ht="15.75" customHeight="1">
      <c r="A25" s="10" t="s">
        <v>300</v>
      </c>
      <c r="B25" s="10">
        <f>COUNTIF(MMA301_Assignment1_Plan!B2:B500,A25)</f>
        <v>2</v>
      </c>
      <c r="C25" s="10" t="s">
        <v>960</v>
      </c>
      <c r="D25" s="10"/>
      <c r="E25" s="10"/>
      <c r="F25" s="10"/>
      <c r="G25" s="10"/>
      <c r="H25" s="10"/>
    </row>
    <row r="26" spans="1:8" ht="15.75" customHeight="1">
      <c r="A26" s="10"/>
      <c r="B26" s="10"/>
      <c r="C26" s="10"/>
      <c r="D26" s="10"/>
      <c r="E26" s="10"/>
      <c r="F26" s="10"/>
      <c r="G26" s="10"/>
      <c r="H26" s="10"/>
    </row>
    <row r="27" spans="1:8" ht="27.75" customHeight="1">
      <c r="A27" s="60" t="s">
        <v>961</v>
      </c>
      <c r="B27" s="61"/>
      <c r="C27" s="61"/>
      <c r="D27" s="10"/>
      <c r="E27" s="10"/>
      <c r="F27" s="10"/>
      <c r="G27" s="10"/>
      <c r="H27" s="10"/>
    </row>
    <row r="28" spans="1:8" ht="15.75" customHeight="1">
      <c r="A28" s="10" t="s">
        <v>962</v>
      </c>
      <c r="B28" s="10">
        <f>COUNTIF(Test_Matrix!G2:G100,"&lt;&gt;")</f>
        <v>17</v>
      </c>
      <c r="C28" s="10" t="s">
        <v>963</v>
      </c>
      <c r="D28" s="10"/>
      <c r="E28" s="10"/>
      <c r="F28" s="10"/>
      <c r="G28" s="10"/>
      <c r="H28" s="10"/>
    </row>
    <row r="29" spans="1:8" ht="15.75" customHeight="1">
      <c r="A29" s="10" t="s">
        <v>964</v>
      </c>
      <c r="B29" s="10">
        <v>2</v>
      </c>
      <c r="C29" s="10" t="s">
        <v>965</v>
      </c>
      <c r="D29" s="10"/>
      <c r="E29" s="10"/>
      <c r="F29" s="10"/>
      <c r="G29" s="10"/>
      <c r="H29" s="10"/>
    </row>
    <row r="30" spans="1:8" ht="15.75" customHeight="1">
      <c r="A30" s="10" t="s">
        <v>966</v>
      </c>
      <c r="B30" s="10">
        <f>COUNTIF(Final_Checklist!D2:D100,"DONE")</f>
        <v>38</v>
      </c>
      <c r="C30" s="10" t="s">
        <v>967</v>
      </c>
      <c r="D30" s="10"/>
      <c r="E30" s="10"/>
      <c r="F30" s="10"/>
      <c r="G30" s="10"/>
      <c r="H30" s="10"/>
    </row>
    <row r="31" spans="1:8" ht="15.75" customHeight="1">
      <c r="A31" s="10" t="s">
        <v>968</v>
      </c>
      <c r="B31" s="10">
        <f>COUNTIF(Interview_Preparation!E2:E100,"DONE")</f>
        <v>16</v>
      </c>
      <c r="C31" s="10" t="s">
        <v>969</v>
      </c>
      <c r="D31" s="10"/>
      <c r="E31" s="10"/>
      <c r="F31" s="10"/>
      <c r="G31" s="10"/>
      <c r="H31" s="10"/>
    </row>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31" xr:uid="{00000000-0009-0000-0000-000008000000}"/>
  <mergeCells count="3">
    <mergeCell ref="A18:C18"/>
    <mergeCell ref="A27:C27"/>
    <mergeCell ref="E3:H8"/>
  </mergeCells>
  <pageMargins left="0.25" right="0.25" top="0.45" bottom="0.4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MMA301_Assignment1_Plan</vt:lpstr>
      <vt:lpstr>RTM</vt:lpstr>
      <vt:lpstr>Design_Decision_Record</vt:lpstr>
      <vt:lpstr>Test_Matrix</vt:lpstr>
      <vt:lpstr>Interview_Preparation</vt:lpstr>
      <vt:lpstr>Transfer_Practice</vt:lpstr>
      <vt:lpstr>AI_Usage_Log</vt:lpstr>
      <vt:lpstr>Final_Checklist</vt:lpstr>
      <vt:lpstr>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 Thi Thao Trang</cp:lastModifiedBy>
  <dcterms:created xsi:type="dcterms:W3CDTF">2026-10-05T02:26:17Z</dcterms:created>
  <dcterms:modified xsi:type="dcterms:W3CDTF">2026-10-06T16:01:51Z</dcterms:modified>
</cp:coreProperties>
</file>